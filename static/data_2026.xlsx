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90"/>
  </bookViews>
  <sheets>
    <sheet name="Sheet4" sheetId="5" r:id="rId1"/>
    <sheet name="Sheet5" sheetId="6" r:id="rId2"/>
    <sheet name="1227-29耗量" sheetId="7" r:id="rId3"/>
    <sheet name="1201-29周均耗用" sheetId="8" r:id="rId4"/>
  </sheets>
  <definedNames>
    <definedName name="_xlnm._FilterDatabase" localSheetId="0" hidden="1">Sheet4!$A$1:$H$1331</definedName>
    <definedName name="_xlnm._FilterDatabase" localSheetId="2" hidden="1">'1227-29耗量'!$A$1:$C$602</definedName>
    <definedName name="_xlnm._FilterDatabase" localSheetId="3" hidden="1">'1201-29周均耗用'!$A$1:$C$936</definedName>
  </definedNames>
  <calcPr calcId="144525"/>
</workbook>
</file>

<file path=xl/sharedStrings.xml><?xml version="1.0" encoding="utf-8"?>
<sst xmlns="http://schemas.openxmlformats.org/spreadsheetml/2006/main" count="6579" uniqueCount="2751">
  <si>
    <t>藥品代碼</t>
  </si>
  <si>
    <t>藥名</t>
  </si>
  <si>
    <t>12/27盤點量</t>
  </si>
  <si>
    <t>12/27-12/29</t>
  </si>
  <si>
    <t>12/30預期量</t>
  </si>
  <si>
    <t>備註</t>
  </si>
  <si>
    <t>12/30電腦量</t>
  </si>
  <si>
    <t>12月/30上藥量</t>
  </si>
  <si>
    <t xml:space="preserve">7day </t>
  </si>
  <si>
    <t>ABI02O</t>
  </si>
  <si>
    <t>Abilify 5mg Tab#</t>
  </si>
  <si>
    <t>ABI03O</t>
  </si>
  <si>
    <t>ABILIFY 15mg Tab#</t>
  </si>
  <si>
    <t>ABI04I</t>
  </si>
  <si>
    <t>Abilify maintena 400mg Syringe</t>
  </si>
  <si>
    <t>ABI04O</t>
  </si>
  <si>
    <t>Abiratred FC 250mg Tab</t>
  </si>
  <si>
    <t>ACA01O</t>
  </si>
  <si>
    <t>Acarose 50mg Tab#</t>
  </si>
  <si>
    <t>ACA02O</t>
  </si>
  <si>
    <t>A-Cal 500mg Tab</t>
  </si>
  <si>
    <t>ACD01I</t>
  </si>
  <si>
    <t>ACD Solution-C Bot</t>
  </si>
  <si>
    <t>ACE01I</t>
  </si>
  <si>
    <t>Acemycin 500mg/2ml Vial#</t>
  </si>
  <si>
    <t>ACE02I</t>
  </si>
  <si>
    <t>Acetamol 1gm Vial</t>
  </si>
  <si>
    <t>ACE04O</t>
  </si>
  <si>
    <t>Acemet 60mg Cap</t>
  </si>
  <si>
    <t>ACE05O</t>
  </si>
  <si>
    <t>Acetazolamide 250mg Tab</t>
  </si>
  <si>
    <t>ACL01E</t>
  </si>
  <si>
    <t>Aclovir Cream 5% 5gm</t>
  </si>
  <si>
    <t>ACL01I</t>
  </si>
  <si>
    <t>Aclasta 5mg/100ml Vial#</t>
  </si>
  <si>
    <t>ACT01I</t>
  </si>
  <si>
    <t>Actemra 200mg/10ml vial#</t>
  </si>
  <si>
    <t>ACT01O</t>
  </si>
  <si>
    <t>Actos 30mg Tab#</t>
  </si>
  <si>
    <t>ACT02I</t>
  </si>
  <si>
    <t>Actilyse 50mg/50ml Vial#</t>
  </si>
  <si>
    <t>ACT02O</t>
  </si>
  <si>
    <t>ACTEIN Effervescent 600mg Tab</t>
  </si>
  <si>
    <t>ACT03I</t>
  </si>
  <si>
    <t>Actrapid HM(RI) 1000iu/10ml Vial</t>
  </si>
  <si>
    <t>ACT06O</t>
  </si>
  <si>
    <t>Actein Granules 200mg/3gm Pack</t>
  </si>
  <si>
    <t>ACT07I</t>
  </si>
  <si>
    <t>Actemra 80mg/4ml vial#</t>
  </si>
  <si>
    <t>ACT08I</t>
  </si>
  <si>
    <t>ACTEMRA 162mg/0.9ml Pen#</t>
  </si>
  <si>
    <t>ACY02O</t>
  </si>
  <si>
    <t>Acylo 400mg Tab</t>
  </si>
  <si>
    <t>ACZ01E</t>
  </si>
  <si>
    <t>Aczo Gel 5% 10gm Tube</t>
  </si>
  <si>
    <t>ADE01I</t>
  </si>
  <si>
    <t>Adenocor 6mg/2ml Vial</t>
  </si>
  <si>
    <t>ADE01O</t>
  </si>
  <si>
    <t>Adempas FC 2mg Tab#</t>
  </si>
  <si>
    <t>ADE02O</t>
  </si>
  <si>
    <t>ADEMPAS FC 2.5mg Tab#</t>
  </si>
  <si>
    <t>ADI08I</t>
  </si>
  <si>
    <t>AdimFlu-S (公費) 0.5mL Syringe</t>
  </si>
  <si>
    <t>ADR02I</t>
  </si>
  <si>
    <t>Adrenalin 1mg/1ml Amp</t>
  </si>
  <si>
    <t>ADV01O</t>
  </si>
  <si>
    <t>Advagraf PR 0.5mg Cap</t>
  </si>
  <si>
    <t>ADV02O</t>
  </si>
  <si>
    <t>ADVAGRAF PR 1mg Cap</t>
  </si>
  <si>
    <t>ADV03O</t>
  </si>
  <si>
    <t>ADVAGRAF PR 5mg Cap</t>
  </si>
  <si>
    <t>AET02I</t>
  </si>
  <si>
    <t>Aethoxysklerol 20mg/2ml amp</t>
  </si>
  <si>
    <t>AFI01O</t>
  </si>
  <si>
    <t>Afinitor 5mg Tab#</t>
  </si>
  <si>
    <t>AGG01I</t>
  </si>
  <si>
    <t>Aggrastat 12.5mg/50ml Vial#</t>
  </si>
  <si>
    <t>AGG02I</t>
  </si>
  <si>
    <t>Agglutex 25000iu/5ml Vial</t>
  </si>
  <si>
    <t>AGR01O</t>
  </si>
  <si>
    <t>Agrylin 0.5mg Cap#</t>
  </si>
  <si>
    <t>AJO01I</t>
  </si>
  <si>
    <t>Ajovy 225mg/1.5ml Pen</t>
  </si>
  <si>
    <t>AKU01O</t>
  </si>
  <si>
    <t>AKuriT-3 275/75/150 Tab#</t>
  </si>
  <si>
    <t>AKU02O</t>
  </si>
  <si>
    <t>AKuriT-4 275/75/400/150 Tab#</t>
  </si>
  <si>
    <t>AKY01O</t>
  </si>
  <si>
    <t>Akynzeo 300/0.5 mg Cap</t>
  </si>
  <si>
    <t>ALC02E</t>
  </si>
  <si>
    <t>Alcos-Anal Supp</t>
  </si>
  <si>
    <t>ALC03E</t>
  </si>
  <si>
    <t>Alcaine 0.5% 15ml</t>
  </si>
  <si>
    <t>ALC04E</t>
  </si>
  <si>
    <t>Alcos-Anal Oint 20gm</t>
  </si>
  <si>
    <t>ALC16E</t>
  </si>
  <si>
    <t>Alcohol 75% 4L/Bot</t>
  </si>
  <si>
    <t>ALC17E</t>
  </si>
  <si>
    <t>Alcohol 75% 200mL</t>
  </si>
  <si>
    <t>ALC19E</t>
  </si>
  <si>
    <t>Alcohol 95% 4L</t>
  </si>
  <si>
    <t>ALD03E</t>
  </si>
  <si>
    <t>Aldara Cream 5% 250mg</t>
  </si>
  <si>
    <t>ALE01I</t>
  </si>
  <si>
    <t>Aleviatin 250mg/5ml Amp</t>
  </si>
  <si>
    <t>ALE01O</t>
  </si>
  <si>
    <t>Alecensa 150mg Cap</t>
  </si>
  <si>
    <t>ALF01O</t>
  </si>
  <si>
    <t>Alfacalcidol 0.5mcg Cap</t>
  </si>
  <si>
    <t>ALF03I</t>
  </si>
  <si>
    <t>Alfentanil PPCD 1mg/2ml Amp #2</t>
  </si>
  <si>
    <t>ALG01O</t>
  </si>
  <si>
    <t>Algitab Chewable Tab#</t>
  </si>
  <si>
    <t>ALG01S</t>
  </si>
  <si>
    <t>Alginos Oral Suspension 210ml/Bot</t>
  </si>
  <si>
    <t>ALG02O</t>
  </si>
  <si>
    <t>Acamprosate Calcium 333mg Tab</t>
  </si>
  <si>
    <t>ALI01O</t>
  </si>
  <si>
    <t>Alinamin-F 50 S.C. Tab#</t>
  </si>
  <si>
    <t>ALK01O</t>
  </si>
  <si>
    <t>Alkeran 2mg Tab#</t>
  </si>
  <si>
    <t>ALL01S</t>
  </si>
  <si>
    <t>All-Right Calcium Susp 180ml Bot#</t>
  </si>
  <si>
    <t>ALL02O</t>
  </si>
  <si>
    <t>Allegra 60mg Tab</t>
  </si>
  <si>
    <t>ALO01I</t>
  </si>
  <si>
    <t>Aloxi 0.25mg/5ml Vial#</t>
  </si>
  <si>
    <t>ALP02E</t>
  </si>
  <si>
    <t>Alphagan P Oph Soln 0.15% 5ml</t>
  </si>
  <si>
    <t>ALU02O</t>
  </si>
  <si>
    <t>Aluminum Hydroxide 324mg Tab</t>
  </si>
  <si>
    <t>ALV01I</t>
  </si>
  <si>
    <t>Alvosteo 20mcg/80mcl; 28d</t>
  </si>
  <si>
    <t>AMA02O</t>
  </si>
  <si>
    <t>Amaryl 2mg Tab#</t>
  </si>
  <si>
    <t>AMA03O</t>
  </si>
  <si>
    <t>AMARYL M 2/500mg Tab#</t>
  </si>
  <si>
    <t>AMB01I</t>
  </si>
  <si>
    <t>Ambisome 50mg Vial#</t>
  </si>
  <si>
    <t>AMI01O</t>
  </si>
  <si>
    <t>Amizide Tab</t>
  </si>
  <si>
    <t>AMI12I</t>
  </si>
  <si>
    <t>Aminopoly-H 500ml Bot</t>
  </si>
  <si>
    <t>AMI13I</t>
  </si>
  <si>
    <t>Aminosteril Infant 10% 100ml</t>
  </si>
  <si>
    <t>AMO01I</t>
  </si>
  <si>
    <t>AmoClav 1.2g Vial</t>
  </si>
  <si>
    <t>AMO01O</t>
  </si>
  <si>
    <t>Amoxicillin 250mg Cap YungShin</t>
  </si>
  <si>
    <t>AMO05S</t>
  </si>
  <si>
    <t>Amoxycillin Sandoz Susp 50mg/mL;100mL</t>
  </si>
  <si>
    <t>AMP01O</t>
  </si>
  <si>
    <t>Ampicillin 500mg Cap</t>
  </si>
  <si>
    <t>AMP02I</t>
  </si>
  <si>
    <t>Ampholipad 50mg Vial</t>
  </si>
  <si>
    <t>AMP03I</t>
  </si>
  <si>
    <t>Ampolin 500mg Vial</t>
  </si>
  <si>
    <t>AMT01O</t>
  </si>
  <si>
    <t>Amtrel Tab</t>
  </si>
  <si>
    <t>AND01O</t>
  </si>
  <si>
    <t>Androcur 50mg Tab#</t>
  </si>
  <si>
    <t>ANE03I</t>
  </si>
  <si>
    <t>Anexate 0.5mg/5ml Amp#</t>
  </si>
  <si>
    <t>ANG02I</t>
  </si>
  <si>
    <t>Angidil 10mg/10ml Amp</t>
  </si>
  <si>
    <t>ANO01E</t>
  </si>
  <si>
    <t>Anoro Ellipta 55/22mcg inhalation; 30d</t>
  </si>
  <si>
    <t>ANP01I</t>
  </si>
  <si>
    <t>Anpo 50mg/5ml Amp</t>
  </si>
  <si>
    <t>ANP01O</t>
  </si>
  <si>
    <t>Anpo 10mg Tab</t>
  </si>
  <si>
    <t>ANT01I</t>
  </si>
  <si>
    <t>Antifect 1g Vial#</t>
  </si>
  <si>
    <t>ANT02E</t>
  </si>
  <si>
    <t>Antigerm Sol 40mg/ml 5L Bot</t>
  </si>
  <si>
    <t>ANT03I</t>
  </si>
  <si>
    <t>Antivenin of D. acutus(Lyophilized)</t>
  </si>
  <si>
    <t>ANT04E</t>
  </si>
  <si>
    <t>Antol Eye drops 1% 5ml Bot</t>
  </si>
  <si>
    <t>ANT06I</t>
  </si>
  <si>
    <t>Antivenin of B.multicincutus and N.naga</t>
  </si>
  <si>
    <t>ANT06O</t>
  </si>
  <si>
    <t>Antibiophilus 250mg Cap#</t>
  </si>
  <si>
    <t>ANT07I</t>
  </si>
  <si>
    <t>Antivenin of Tr.mucrosqamatus and Tr.gra</t>
  </si>
  <si>
    <t>ANT09S</t>
  </si>
  <si>
    <t>Anti-Phen 24mg/ml; 60ml#</t>
  </si>
  <si>
    <t>ANX01I</t>
  </si>
  <si>
    <t>Anxicam 2mg/1ml Amp #4</t>
  </si>
  <si>
    <t>API01I</t>
  </si>
  <si>
    <t>Apidra SoloStar 300 iu/3ml#</t>
  </si>
  <si>
    <t>APO01O</t>
  </si>
  <si>
    <t>Apo-Atomoxetine 25mg Cap</t>
  </si>
  <si>
    <t>APO04O</t>
  </si>
  <si>
    <t>APO-ATOMOXETINE 40MG CAP</t>
  </si>
  <si>
    <t>APR06O</t>
  </si>
  <si>
    <t>Aprezin 10mg Tab</t>
  </si>
  <si>
    <t>AQU02E</t>
  </si>
  <si>
    <t>Aqua Easy Antiseptic Soln 2% 200mL Bot</t>
  </si>
  <si>
    <t>ARA01O</t>
  </si>
  <si>
    <t>Arax 25mg Tab</t>
  </si>
  <si>
    <t>ARE02I</t>
  </si>
  <si>
    <t>RSV Arexvy (自費) Vaccine GSK</t>
  </si>
  <si>
    <t>ARH01O</t>
  </si>
  <si>
    <t>Arheuma 20mg Tab#</t>
  </si>
  <si>
    <t>ARI02O</t>
  </si>
  <si>
    <t>Arimidex 1mg Tab#</t>
  </si>
  <si>
    <t>ARI03O</t>
  </si>
  <si>
    <t>Aricept 10mg Tab#</t>
  </si>
  <si>
    <t>ARO01O</t>
  </si>
  <si>
    <t>Aromasin 25mg Tab#</t>
  </si>
  <si>
    <t>ART01E</t>
  </si>
  <si>
    <t>Artiss solution for Sealant 2ml/Syringe</t>
  </si>
  <si>
    <t>ART02E</t>
  </si>
  <si>
    <t>Artelac Eye Drops 0.32% 10ml#</t>
  </si>
  <si>
    <t>ASA01E</t>
  </si>
  <si>
    <t>Asacol 500mg Supp#</t>
  </si>
  <si>
    <t>ASA03O</t>
  </si>
  <si>
    <t>Asacol MR 1600mg Tab</t>
  </si>
  <si>
    <t>ASC01O</t>
  </si>
  <si>
    <t>Ascofen 100mg Tab</t>
  </si>
  <si>
    <t>ASI01I</t>
  </si>
  <si>
    <t>Asiphylline 250mg/10ml Amp</t>
  </si>
  <si>
    <t>ASP05O</t>
  </si>
  <si>
    <t>Aspirin(強生) FC 100mg Tab</t>
  </si>
  <si>
    <t>ATA02O</t>
  </si>
  <si>
    <t>Atanaal 5mg Cap</t>
  </si>
  <si>
    <t>ATH01S</t>
  </si>
  <si>
    <t>Athmin Syrup 0.2mg/ml;60ml Bot#</t>
  </si>
  <si>
    <t>ATI01O</t>
  </si>
  <si>
    <t>Ativan 0.5mg Tab #4</t>
  </si>
  <si>
    <t>ATO02O</t>
  </si>
  <si>
    <t>ATOZET 10/20mg Tab#</t>
  </si>
  <si>
    <t>ATR01I</t>
  </si>
  <si>
    <t>Atropine 1mg/1ml Amp</t>
  </si>
  <si>
    <t>ATR05E</t>
  </si>
  <si>
    <t>Atropine Eye Drops 0.01% 30amp/Box</t>
  </si>
  <si>
    <t>AUB01O</t>
  </si>
  <si>
    <t>Aubagio 14mg Tab</t>
  </si>
  <si>
    <t>AUG04S</t>
  </si>
  <si>
    <t>Augmentin Syrup 457mg/5ml;35ml#</t>
  </si>
  <si>
    <t>AVA01E</t>
  </si>
  <si>
    <t>Avamys Nasal Spray 27.5ug/50uL;120D</t>
  </si>
  <si>
    <t>AVE01I</t>
  </si>
  <si>
    <t>Avelox 400mg/250ml#</t>
  </si>
  <si>
    <t>AVE01O</t>
  </si>
  <si>
    <t>Avelox 400mg Tab#</t>
  </si>
  <si>
    <t>AVO01O</t>
  </si>
  <si>
    <t>Avodart 0.5mg Cap#</t>
  </si>
  <si>
    <t>AZA01E</t>
  </si>
  <si>
    <t>Azarga Eye drops Susp 5ml</t>
  </si>
  <si>
    <t>AZE01E</t>
  </si>
  <si>
    <t>Azetin Spray 140mcg/dose;120d Bot</t>
  </si>
  <si>
    <t>AZO03E</t>
  </si>
  <si>
    <t>Azopt Oph Susp 1% 5ml#</t>
  </si>
  <si>
    <t>BAI01I</t>
  </si>
  <si>
    <t>Bain Inj. 10mg/1ml amp</t>
  </si>
  <si>
    <t>BAK01O</t>
  </si>
  <si>
    <t>Baktar Tab</t>
  </si>
  <si>
    <t>BAR02O</t>
  </si>
  <si>
    <t>Baraclude 0.5mg Tab#</t>
  </si>
  <si>
    <t>BAR03O</t>
  </si>
  <si>
    <t>BARACLUDE 1MG TAB#</t>
  </si>
  <si>
    <t>BCG02I</t>
  </si>
  <si>
    <t>BCG Vaccine(公費)</t>
  </si>
  <si>
    <t>BEE01O</t>
  </si>
  <si>
    <t>Beesix 50mg Tab</t>
  </si>
  <si>
    <t>BEF01O</t>
  </si>
  <si>
    <t>Befon 5mg Tab</t>
  </si>
  <si>
    <t>BEN02I</t>
  </si>
  <si>
    <t>Benlysta 120mg Vial</t>
  </si>
  <si>
    <t>BEN03I</t>
  </si>
  <si>
    <t>BENLYSTA 400MG VIAL</t>
  </si>
  <si>
    <t>BEO01I</t>
  </si>
  <si>
    <t>Beovu 120mg/mL Syringe</t>
  </si>
  <si>
    <t>BEO02I</t>
  </si>
  <si>
    <t>Beovu (恩慈) 120mg/mL Syringe</t>
  </si>
  <si>
    <t>BER01I</t>
  </si>
  <si>
    <t>Beriplex P/N 500IU Vial</t>
  </si>
  <si>
    <t>BER05E</t>
  </si>
  <si>
    <t>BeroDUAL N Metered Aerosol 200d#</t>
  </si>
  <si>
    <t>BES02I</t>
  </si>
  <si>
    <t>Besremi 500mcg/mL Syringe</t>
  </si>
  <si>
    <t>BET01O</t>
  </si>
  <si>
    <t>Betmiga PR 25mg Tab</t>
  </si>
  <si>
    <t>BET02O</t>
  </si>
  <si>
    <t>BETMIGA PR 50MG TAB</t>
  </si>
  <si>
    <t>BET07O</t>
  </si>
  <si>
    <t>BETALOC ZOK 100MG TAB</t>
  </si>
  <si>
    <t>BET14E</t>
  </si>
  <si>
    <t>Betadine Throat Spray 0.45% 50ml</t>
  </si>
  <si>
    <t>BEV01E</t>
  </si>
  <si>
    <t>Bevespi Aerosphere 7.2/5mcg Inh; 120d#</t>
  </si>
  <si>
    <t>BEX01I</t>
  </si>
  <si>
    <t>Bexsero Vaccine 0.5ml Syringe</t>
  </si>
  <si>
    <t>BEY01I</t>
  </si>
  <si>
    <t>Beyfortus 50mg/0.5mL Syringe</t>
  </si>
  <si>
    <t>BEY02I</t>
  </si>
  <si>
    <t>BEYFORTUS 100MG/1ML SYRINGE</t>
  </si>
  <si>
    <t>BFL01I</t>
  </si>
  <si>
    <t>Bfluid 1000ml Bag</t>
  </si>
  <si>
    <t>BIC03I</t>
  </si>
  <si>
    <t>Bicillin L-A 2.4MIU/4ml Susp Inj</t>
  </si>
  <si>
    <t>BIN01O</t>
  </si>
  <si>
    <t>Binin-U 5mg Tab</t>
  </si>
  <si>
    <t>BIO01E</t>
  </si>
  <si>
    <t>Biodyne Oint 10gm</t>
  </si>
  <si>
    <t>BIO02O</t>
  </si>
  <si>
    <t>Bio-Cal Plus Chewable Tab</t>
  </si>
  <si>
    <t>BIO03O</t>
  </si>
  <si>
    <t>Bioflor 250mg Powder For Oral Susp</t>
  </si>
  <si>
    <t>BIO06O</t>
  </si>
  <si>
    <t>Biofermin-R Powder 6mg/1gm Pack</t>
  </si>
  <si>
    <t>BIP01O</t>
  </si>
  <si>
    <t>Biperin 2mg Tab</t>
  </si>
  <si>
    <t>BIP02I</t>
  </si>
  <si>
    <t>Bipiden 5mg/1ml Amp</t>
  </si>
  <si>
    <t>BIS01O</t>
  </si>
  <si>
    <t>Bismuth 324mg Tab VPP</t>
  </si>
  <si>
    <t>BIS02E</t>
  </si>
  <si>
    <t>Bisadyl 10mg Supp</t>
  </si>
  <si>
    <t>BIS03S</t>
  </si>
  <si>
    <t>Bisolvon Solu 2mg/ml;50ml#</t>
  </si>
  <si>
    <t>BIS04O</t>
  </si>
  <si>
    <t>Bisacodyl 5mg Tab</t>
  </si>
  <si>
    <t>BLO01O</t>
  </si>
  <si>
    <t>Blopress 8mg Tab</t>
  </si>
  <si>
    <t>BLO02O</t>
  </si>
  <si>
    <t>Bloodfull Tab</t>
  </si>
  <si>
    <t>BLO03O</t>
  </si>
  <si>
    <t>BLOPRESS PLUS 16/12.5mg Tab</t>
  </si>
  <si>
    <t>BOB01I</t>
  </si>
  <si>
    <t>Bobimixyn 500KU Vial</t>
  </si>
  <si>
    <t>BOK01O</t>
  </si>
  <si>
    <t>Bokey 100mg Em Cap</t>
  </si>
  <si>
    <t>BOO01I</t>
  </si>
  <si>
    <t>Boostrix 0.5ml Syringe</t>
  </si>
  <si>
    <t>BOT01I</t>
  </si>
  <si>
    <t>Botox 100u Vial</t>
  </si>
  <si>
    <t>BOT04I</t>
  </si>
  <si>
    <t>Botox (恩慈) 100u Vial</t>
  </si>
  <si>
    <t>BOW01O</t>
  </si>
  <si>
    <t>Bowklean Powder 16.2g/pack</t>
  </si>
  <si>
    <t>BRA01O</t>
  </si>
  <si>
    <t>Braftovi 75mg Cap</t>
  </si>
  <si>
    <t>BRE01E</t>
  </si>
  <si>
    <t>Breztri Aerosphere 160/7.2/5mcg Inh; 120</t>
  </si>
  <si>
    <t>BRI01O</t>
  </si>
  <si>
    <t>BRILINTA FC 90MG TAB#</t>
  </si>
  <si>
    <t>BRI02O</t>
  </si>
  <si>
    <t>Brintellix 10mg Tab</t>
  </si>
  <si>
    <t>BRI03O</t>
  </si>
  <si>
    <t>Briviact FC 100mg Tab</t>
  </si>
  <si>
    <t>BRO02I</t>
  </si>
  <si>
    <t>Brosym For Inj 2Gm/Vial</t>
  </si>
  <si>
    <t>BRO02O</t>
  </si>
  <si>
    <t>Broen-C Enteric F.C. Tab</t>
  </si>
  <si>
    <t>BRO07S</t>
  </si>
  <si>
    <t>Brown Mixture Liq. 120ml Bot#</t>
  </si>
  <si>
    <t>BRU01O</t>
  </si>
  <si>
    <t>Brukinsa 80mg Cap</t>
  </si>
  <si>
    <t>BUP01O</t>
  </si>
  <si>
    <t>Bupion SR 150mg Tab</t>
  </si>
  <si>
    <t>BUR01I</t>
  </si>
  <si>
    <t>Burinex 2mg/4ml Amp</t>
  </si>
  <si>
    <t>BUS01I</t>
  </si>
  <si>
    <t>Buscopan 20mg/1ml Amp</t>
  </si>
  <si>
    <t>BUS03O</t>
  </si>
  <si>
    <t>Busix 1mg Tab</t>
  </si>
  <si>
    <t>CAB01O</t>
  </si>
  <si>
    <t>Cabometyx 60mg Tab</t>
  </si>
  <si>
    <t>CAD02O</t>
  </si>
  <si>
    <t>CADUET 5/20MG TAB#</t>
  </si>
  <si>
    <t>CAL01E</t>
  </si>
  <si>
    <t>Calmsit Cream 15gm Tube</t>
  </si>
  <si>
    <t>CAL10I</t>
  </si>
  <si>
    <t>Calcitonin 50IU/1mL Amp KPL</t>
  </si>
  <si>
    <t>CAL10O</t>
  </si>
  <si>
    <t>Calquence FC 100mg Tab</t>
  </si>
  <si>
    <t>CAM05O</t>
  </si>
  <si>
    <t>Camisan 250mg Tab#</t>
  </si>
  <si>
    <t>CAN01O</t>
  </si>
  <si>
    <t>Canaglu 100mg Tab#</t>
  </si>
  <si>
    <t>CAP04O</t>
  </si>
  <si>
    <t>Caprelsa 100mg Tab#</t>
  </si>
  <si>
    <t>CAR01O</t>
  </si>
  <si>
    <t>Carbomix 61.5g Bot#</t>
  </si>
  <si>
    <t>CAR03O</t>
  </si>
  <si>
    <t>Carvedilol HEXAL 25mg Tab</t>
  </si>
  <si>
    <t>CAR04O</t>
  </si>
  <si>
    <t>Cartil 30mg Tab</t>
  </si>
  <si>
    <t>CAR05O</t>
  </si>
  <si>
    <t>Carbizo 10mg Tab</t>
  </si>
  <si>
    <t>CAR06S</t>
  </si>
  <si>
    <t>Cardiacin Elixir 0.05mg/ml;60ml#</t>
  </si>
  <si>
    <t>CAR07O</t>
  </si>
  <si>
    <t>Cardol (Sotalol) 160mg Tab</t>
  </si>
  <si>
    <t>CAR08O</t>
  </si>
  <si>
    <t>Cardolol 40mg Tab</t>
  </si>
  <si>
    <t>CAR09O</t>
  </si>
  <si>
    <t>Carpine 200mg Tab</t>
  </si>
  <si>
    <t>CAS02S</t>
  </si>
  <si>
    <t>Castor Oil 30ml Bot (Oleum Ricini)</t>
  </si>
  <si>
    <t>CAS03O</t>
  </si>
  <si>
    <t>Casodex 50mg Tab#</t>
  </si>
  <si>
    <t>CAT01E</t>
  </si>
  <si>
    <t>Cationorm Oph Emul 30Amp/Box</t>
  </si>
  <si>
    <t>CAT01O</t>
  </si>
  <si>
    <t>Catapres 75mcg Tab</t>
  </si>
  <si>
    <t>CAT03O</t>
  </si>
  <si>
    <t>Catilon 40mg Tab</t>
  </si>
  <si>
    <t>CBO01E</t>
  </si>
  <si>
    <t>C.B. Oint (Strong) 5gm</t>
  </si>
  <si>
    <t>CEF01I</t>
  </si>
  <si>
    <t>Ceftriaxone 1g Vial</t>
  </si>
  <si>
    <t>CEF01O</t>
  </si>
  <si>
    <t>Ceflour FC 250mg Tab</t>
  </si>
  <si>
    <t>CEF09I</t>
  </si>
  <si>
    <t>Cefe 2gm Vial</t>
  </si>
  <si>
    <t>CEL02O</t>
  </si>
  <si>
    <t>Cellcept 250mg Cap</t>
  </si>
  <si>
    <t>CEL04O</t>
  </si>
  <si>
    <t>Celebrex 200mg Cap</t>
  </si>
  <si>
    <t>CEL05O</t>
  </si>
  <si>
    <t>CELLCEPT 500MG TAB</t>
  </si>
  <si>
    <t>CEP04O</t>
  </si>
  <si>
    <t>Ceporin 25mg Tab</t>
  </si>
  <si>
    <t>CEP05O</t>
  </si>
  <si>
    <t>Cephalexin 500mg Cap</t>
  </si>
  <si>
    <t>CER03I</t>
  </si>
  <si>
    <t>Cerebrolysin 10ml Amp</t>
  </si>
  <si>
    <t>CER03O</t>
  </si>
  <si>
    <t>Certican 0.25mg Tab</t>
  </si>
  <si>
    <t>CER04O</t>
  </si>
  <si>
    <t>CERTICAN 0.5mg Tab</t>
  </si>
  <si>
    <t>CET01S</t>
  </si>
  <si>
    <t>Cetirizine Oral Soln 60mg/60ml</t>
  </si>
  <si>
    <t>CEX01O</t>
  </si>
  <si>
    <t>Cexime 100mg Cap#</t>
  </si>
  <si>
    <t>CHA01E</t>
  </si>
  <si>
    <t>Chanton Enema 15% 20ml Ball</t>
  </si>
  <si>
    <t>CHA02O</t>
  </si>
  <si>
    <t>Champix 0.5mg Tab</t>
  </si>
  <si>
    <t>CHA03O</t>
  </si>
  <si>
    <t>CHAMPIX 1mg Tab</t>
  </si>
  <si>
    <t>CHE01I</t>
  </si>
  <si>
    <t>Chenday 25mg/5mL Amp</t>
  </si>
  <si>
    <t>CHE01S</t>
  </si>
  <si>
    <t>Micrsoy (ChemoYoung) 4mL Bot; 14Bot/Box</t>
  </si>
  <si>
    <t>CHL02E</t>
  </si>
  <si>
    <t>Chloramphenicol 0.25% Eye Drops 5mL</t>
  </si>
  <si>
    <t>CHL07E</t>
  </si>
  <si>
    <t>Chlorhexidine Liq (藍色) 2% 200ml Bot</t>
  </si>
  <si>
    <t>CHO01O</t>
  </si>
  <si>
    <t>Choles powder 9gm Pack#</t>
  </si>
  <si>
    <t>CHY01E</t>
  </si>
  <si>
    <t>Chyndacin Gel 10mg/gm 20gm</t>
  </si>
  <si>
    <t>CIA02O</t>
  </si>
  <si>
    <t>Cialis FC 5mg Tab</t>
  </si>
  <si>
    <t>CIB01O</t>
  </si>
  <si>
    <t>Cibinqo FC 200mg Tab</t>
  </si>
  <si>
    <t>CIM01I</t>
  </si>
  <si>
    <t>Cimzia 200mg/1ml Syringe#</t>
  </si>
  <si>
    <t>CIN01I</t>
  </si>
  <si>
    <t>Cinolone 200mg/100ml Vial</t>
  </si>
  <si>
    <t>CIN02O</t>
  </si>
  <si>
    <t>Cinolone 250mg Tab</t>
  </si>
  <si>
    <t>CIN03O</t>
  </si>
  <si>
    <t>Cinaca 25mg Tab</t>
  </si>
  <si>
    <t>CIN04O</t>
  </si>
  <si>
    <t>Cintsu SC 40mg Tab</t>
  </si>
  <si>
    <t>CIT01O</t>
  </si>
  <si>
    <t>Citao-S FC 10mg Tab</t>
  </si>
  <si>
    <t>CIV01E</t>
  </si>
  <si>
    <t>Cividoid Gel 20gm</t>
  </si>
  <si>
    <t>CLA01I</t>
  </si>
  <si>
    <t>Claforan IV Inj 2gm Vial</t>
  </si>
  <si>
    <t>CLA04O</t>
  </si>
  <si>
    <t>Claricin 250mg Tab#</t>
  </si>
  <si>
    <t>CLI02I</t>
  </si>
  <si>
    <t>Clincin Inj. 300mg/2ml Amp</t>
  </si>
  <si>
    <t>CLO01S</t>
  </si>
  <si>
    <t>Clodrin Oral Soln 3g/30mL Bot</t>
  </si>
  <si>
    <t>CLO02E</t>
  </si>
  <si>
    <t>Clobetasol Oint 3.5mg/7gm</t>
  </si>
  <si>
    <t>CLO03E</t>
  </si>
  <si>
    <t>Clomazole 500mg Vag Tab</t>
  </si>
  <si>
    <t>CLO03O</t>
  </si>
  <si>
    <t>Clopine 25mg Tab#</t>
  </si>
  <si>
    <t>CLO04E</t>
  </si>
  <si>
    <t>Clobex Shampoo 125ml Bot</t>
  </si>
  <si>
    <t>CLO05O</t>
  </si>
  <si>
    <t>Clomiphene 50mg Tab PeiLi</t>
  </si>
  <si>
    <t>CLO07E</t>
  </si>
  <si>
    <t>Clotrimazole 500mg Vag Tab Panbiotic</t>
  </si>
  <si>
    <t>COD01E</t>
  </si>
  <si>
    <t>Codemycin Eye Oint 3.5gm</t>
  </si>
  <si>
    <t>COD01O</t>
  </si>
  <si>
    <t>Codeine 30mg Tab #2</t>
  </si>
  <si>
    <t>COF01O</t>
  </si>
  <si>
    <t>Cofarin 1mg Tab</t>
  </si>
  <si>
    <t>COL01O</t>
  </si>
  <si>
    <t>Colchicine 0.5mg Tab#</t>
  </si>
  <si>
    <t>COL02I</t>
  </si>
  <si>
    <t>Colimycin 2MU Vial</t>
  </si>
  <si>
    <t>COL04E</t>
  </si>
  <si>
    <t>Colasa Enema 4gm/100mL Bot</t>
  </si>
  <si>
    <t>COM02E</t>
  </si>
  <si>
    <t>Combivent UDV Inh Soln 2.5ml Amp#</t>
  </si>
  <si>
    <t>COM03E</t>
  </si>
  <si>
    <t>Combigan Eye Drops 5ml Bot</t>
  </si>
  <si>
    <t>COM05O</t>
  </si>
  <si>
    <t>Compesolon 5mg Tab</t>
  </si>
  <si>
    <t>CON01O</t>
  </si>
  <si>
    <t>Conslife Sugar Coated Tab</t>
  </si>
  <si>
    <t>CON06O</t>
  </si>
  <si>
    <t>CONCOR 5mg Tab</t>
  </si>
  <si>
    <t>CON07O</t>
  </si>
  <si>
    <t>Concerta ER 18mg Tab #3</t>
  </si>
  <si>
    <t>CON08O</t>
  </si>
  <si>
    <t>Concor 1.25mg Tab</t>
  </si>
  <si>
    <t>CON09O</t>
  </si>
  <si>
    <t>CONCERTA ER 27MG TAB #3</t>
  </si>
  <si>
    <t>CON10O</t>
  </si>
  <si>
    <t>Const-K ER 750mg (10mEq) Tab</t>
  </si>
  <si>
    <t>CON11O</t>
  </si>
  <si>
    <t>CONCERTA ER 36MG TAB #3</t>
  </si>
  <si>
    <t>CON12O</t>
  </si>
  <si>
    <t>Convulex 300mg Cap</t>
  </si>
  <si>
    <t>CON13O</t>
  </si>
  <si>
    <t>Contrave ER 8/90mg Tab</t>
  </si>
  <si>
    <t>COP02I</t>
  </si>
  <si>
    <t>Copaxone 40mg/1ml Syringe</t>
  </si>
  <si>
    <t>COR01O</t>
  </si>
  <si>
    <t>Cortisone Acetate 25mg Tab</t>
  </si>
  <si>
    <t>COR02O</t>
  </si>
  <si>
    <t>Coralan FC 5mg Tab#</t>
  </si>
  <si>
    <t>COR03O</t>
  </si>
  <si>
    <t>Cortiment MMX PR 9mg Tab</t>
  </si>
  <si>
    <t>COR05I</t>
  </si>
  <si>
    <t>Cordarone 150mg/3ml Amp</t>
  </si>
  <si>
    <t>COR05O</t>
  </si>
  <si>
    <t>Cordarone 200mg Tab</t>
  </si>
  <si>
    <t>COS02E</t>
  </si>
  <si>
    <t>Cosopt Oph Soln 5ml Bot#</t>
  </si>
  <si>
    <t>COS02I</t>
  </si>
  <si>
    <t>Cosentyx SC 150mg/mL Syringe</t>
  </si>
  <si>
    <t>COU12S</t>
  </si>
  <si>
    <t>Cough Mixture 120ml#</t>
  </si>
  <si>
    <t>COV01I</t>
  </si>
  <si>
    <t>Covorin Injection 50mg/5ml Amp</t>
  </si>
  <si>
    <t>COV12I</t>
  </si>
  <si>
    <t>COVID-19 Moderna JN1 0.5mL (針劑公費)</t>
  </si>
  <si>
    <t>COV13I</t>
  </si>
  <si>
    <t>COVID-19 Moderna JN1 (瓶裝公費)</t>
  </si>
  <si>
    <t>COV14I</t>
  </si>
  <si>
    <t>COVID-19 Novavax JN1 0.5mL (公費)</t>
  </si>
  <si>
    <t>COV15I</t>
  </si>
  <si>
    <t>COVID-19 Moderna LP81 (針劑公費)</t>
  </si>
  <si>
    <t>COV16I</t>
  </si>
  <si>
    <t>COVID-19 Moderna LP81 (瓶裝公費)</t>
  </si>
  <si>
    <t>COW01O</t>
  </si>
  <si>
    <t>Cowbalin 100mg Tab</t>
  </si>
  <si>
    <t>CRA01E</t>
  </si>
  <si>
    <t>Cravit Oph Soln 25mg/5ml Bot#</t>
  </si>
  <si>
    <t>CRA02O</t>
  </si>
  <si>
    <t>Cravit 500mg Tab#</t>
  </si>
  <si>
    <t>CRA03I</t>
  </si>
  <si>
    <t>Cravit 500mg/100ml Vial#</t>
  </si>
  <si>
    <t>CRE01I</t>
  </si>
  <si>
    <t>Cresemba 200mg Vial</t>
  </si>
  <si>
    <t>CRE01O</t>
  </si>
  <si>
    <t>Crestor 10mg Tab#</t>
  </si>
  <si>
    <t>CRE02O</t>
  </si>
  <si>
    <t>Cretrol 10/20mg Tab#</t>
  </si>
  <si>
    <t>CRE03O</t>
  </si>
  <si>
    <t>Cresemba 100mg Cap</t>
  </si>
  <si>
    <t>CUB01I</t>
  </si>
  <si>
    <t>Cubicin 500mg Vial</t>
  </si>
  <si>
    <t>CUR01O</t>
  </si>
  <si>
    <t>Curam FC 1g Tab#</t>
  </si>
  <si>
    <t>CYA01I</t>
  </si>
  <si>
    <t>Cyanocobalamin (Vit.B12) 1mg/1ml Amp#</t>
  </si>
  <si>
    <t>CYM01I</t>
  </si>
  <si>
    <t>Cymevene 500mg Vial#</t>
  </si>
  <si>
    <t>CYP01S</t>
  </si>
  <si>
    <t>Cypromin Soln 0.4mg/ml;120ml#</t>
  </si>
  <si>
    <t>CYT01I</t>
  </si>
  <si>
    <t>Cytotect CP Biotest 50ml/Bot</t>
  </si>
  <si>
    <t>CYT02O</t>
  </si>
  <si>
    <t>Cytotec 200mcg Tab#</t>
  </si>
  <si>
    <t>DAF01O</t>
  </si>
  <si>
    <t>Daflon FC 1gm Tab</t>
  </si>
  <si>
    <t>DAI01E</t>
  </si>
  <si>
    <t>Daivonex Oint 0.005% 30gm#</t>
  </si>
  <si>
    <t>DAI03E</t>
  </si>
  <si>
    <t>Daivobet Oint 30gm Tube#</t>
  </si>
  <si>
    <t>DAL01O</t>
  </si>
  <si>
    <t>Dalmadorm 15mg Cap #4</t>
  </si>
  <si>
    <t>DAM01O</t>
  </si>
  <si>
    <t>Dampurine 25mg Tab</t>
  </si>
  <si>
    <t>DAY01O</t>
  </si>
  <si>
    <t>Dayvigo 5mg Tab</t>
  </si>
  <si>
    <t>DEF02I</t>
  </si>
  <si>
    <t>Deferoxamine 500mg Vial</t>
  </si>
  <si>
    <t>DEH01O</t>
  </si>
  <si>
    <t>Dehypotin Protect 40mg Tab</t>
  </si>
  <si>
    <t>DEL03O</t>
  </si>
  <si>
    <t>Delcopan SR 60mg Tab</t>
  </si>
  <si>
    <t>DEM01I</t>
  </si>
  <si>
    <t>Demerol 50mg/1ml Amp(Pethidine) #2</t>
  </si>
  <si>
    <t>DEP01I</t>
  </si>
  <si>
    <t>Depakine 400mg Vial#</t>
  </si>
  <si>
    <t>DEP01O</t>
  </si>
  <si>
    <t>Depakine 200mg Tab</t>
  </si>
  <si>
    <t>DEP02O</t>
  </si>
  <si>
    <t>Depakine Chrono 500mg Tab</t>
  </si>
  <si>
    <t>DEP03O</t>
  </si>
  <si>
    <t>Depyretin 500mg Tab</t>
  </si>
  <si>
    <t>DEP04S</t>
  </si>
  <si>
    <t>Depakine Soln 8gm/40ml Bot</t>
  </si>
  <si>
    <t>DER03E</t>
  </si>
  <si>
    <t>Derma Cream 4% 7gm Tube</t>
  </si>
  <si>
    <t>DES03I</t>
  </si>
  <si>
    <t>Desferrioxamine 500mg Vial</t>
  </si>
  <si>
    <t>DET02O</t>
  </si>
  <si>
    <t>DETRUSITOL SR 4mg Cap</t>
  </si>
  <si>
    <t>DEV01E</t>
  </si>
  <si>
    <t>Devirus Oph Oint 3% 4.5gm</t>
  </si>
  <si>
    <t>DEX01O</t>
  </si>
  <si>
    <t>Dex-CTM 2mg Tab</t>
  </si>
  <si>
    <t>DEX02I</t>
  </si>
  <si>
    <t>Dexamethasone 5mg/1ml Amp</t>
  </si>
  <si>
    <t>DEX03I</t>
  </si>
  <si>
    <t>Dextrose 10% 500mL Bag Otsuka</t>
  </si>
  <si>
    <t>DEX03O</t>
  </si>
  <si>
    <t>Dexamethasone 0.5mg Tab</t>
  </si>
  <si>
    <t>DIA01O</t>
  </si>
  <si>
    <t>Diapin 2mg Tab#4</t>
  </si>
  <si>
    <t>DIA03O</t>
  </si>
  <si>
    <t>Diane-35 21tab/Box</t>
  </si>
  <si>
    <t>DIA04I</t>
  </si>
  <si>
    <t>Diagnogreen Inj 25mg Vial</t>
  </si>
  <si>
    <t>DIA04O</t>
  </si>
  <si>
    <t>Diamicron MR 30mg Tab</t>
  </si>
  <si>
    <t>DIF01E</t>
  </si>
  <si>
    <t>Difflam Forte Spray 3.0mg/ml; 15ml</t>
  </si>
  <si>
    <t>DIF01I</t>
  </si>
  <si>
    <t>Diflucan 100mg/50ml Vial#</t>
  </si>
  <si>
    <t>DIF02E</t>
  </si>
  <si>
    <t>Differin Gel 0.1% 15g Tube</t>
  </si>
  <si>
    <t>DIF02O</t>
  </si>
  <si>
    <t>Dificid 200mg Tab#</t>
  </si>
  <si>
    <t>DIL01O</t>
  </si>
  <si>
    <t>Dilantin 100mg Cap</t>
  </si>
  <si>
    <t>DIM04O</t>
  </si>
  <si>
    <t>Dimotil Repe Tab</t>
  </si>
  <si>
    <t>DIO01O</t>
  </si>
  <si>
    <t>Diovan FC 160mg Tab</t>
  </si>
  <si>
    <t>DIP02O</t>
  </si>
  <si>
    <t>Dipyridamole S.C. 25mg Tab</t>
  </si>
  <si>
    <t>DIP03O</t>
  </si>
  <si>
    <t>Diphenidol 25mg Tab</t>
  </si>
  <si>
    <t>DIP06I</t>
  </si>
  <si>
    <t>Dipeptiven for IV 100ml Bot</t>
  </si>
  <si>
    <t>DIP08I</t>
  </si>
  <si>
    <t>Diphereline PR 3.75mg/2ml Vial</t>
  </si>
  <si>
    <t>DIP09I</t>
  </si>
  <si>
    <t>Diphenhydramine 30mg/1mL Amp TaiYu</t>
  </si>
  <si>
    <t>DIQ01E</t>
  </si>
  <si>
    <t>Diquas Oph soln 5ml Bot</t>
  </si>
  <si>
    <t>DIT01O</t>
  </si>
  <si>
    <t>Ditropan 5mg Tab</t>
  </si>
  <si>
    <t>DIV01E</t>
  </si>
  <si>
    <t>Divigel 0.1% GEL 1gm/pack#</t>
  </si>
  <si>
    <t>DON02O</t>
  </si>
  <si>
    <t>Donepezil OD 5mg Tab Mylan</t>
  </si>
  <si>
    <t>DOP01O</t>
  </si>
  <si>
    <t>Dopadine 100mg Tab</t>
  </si>
  <si>
    <t>DOP02I</t>
  </si>
  <si>
    <t>Dopamin 200mg/5ml Amp</t>
  </si>
  <si>
    <t>DOR01I</t>
  </si>
  <si>
    <t>Dormicum 15mg/3ml Amp #4</t>
  </si>
  <si>
    <t>DOR03O</t>
  </si>
  <si>
    <t>Dormicum FC 7.5mg Tab #4</t>
  </si>
  <si>
    <t>DOR04I</t>
  </si>
  <si>
    <t>Dormicum 5mg/1ml Amp #4</t>
  </si>
  <si>
    <t>DOR04O</t>
  </si>
  <si>
    <t>Dorison 4mg Tab</t>
  </si>
  <si>
    <t>DOS01O</t>
  </si>
  <si>
    <t>Dostinex 0.5mg Tab</t>
  </si>
  <si>
    <t>DOX01O</t>
  </si>
  <si>
    <t>Doxaben 2mg Tab</t>
  </si>
  <si>
    <t>DOX02O</t>
  </si>
  <si>
    <t>Doxymycin 100mg Ec Cap</t>
  </si>
  <si>
    <t>DOX03O</t>
  </si>
  <si>
    <t>Doxaben XL 4mg Tab</t>
  </si>
  <si>
    <t>DOX04O</t>
  </si>
  <si>
    <t>Doxepin 25mg Cap</t>
  </si>
  <si>
    <t>DRO01I</t>
  </si>
  <si>
    <t>Dropel 2.5mg/1ml Amp</t>
  </si>
  <si>
    <t>DUA01E</t>
  </si>
  <si>
    <t>Duasma HFA 200mcg/dose; 200d</t>
  </si>
  <si>
    <t>DUF01E</t>
  </si>
  <si>
    <t>Dufanas Nasal Spray 137/50mcg 120d</t>
  </si>
  <si>
    <t>DUO01E</t>
  </si>
  <si>
    <t>Duofilm 15ml Bot</t>
  </si>
  <si>
    <t>DUO01O</t>
  </si>
  <si>
    <t>Duodart 0.5mg/0.4mg Cap</t>
  </si>
  <si>
    <t>DUP01I</t>
  </si>
  <si>
    <t>Dupixent 300mg/2ml Syringe</t>
  </si>
  <si>
    <t>DUP04O</t>
  </si>
  <si>
    <t>Dupin 5mg Tab #4</t>
  </si>
  <si>
    <t>DUR01I</t>
  </si>
  <si>
    <t>Duratocin 100mcg Vial</t>
  </si>
  <si>
    <t>DUR05E</t>
  </si>
  <si>
    <t>Duratears Oph Oint 3.5gm Tube</t>
  </si>
  <si>
    <t>DUX01O</t>
  </si>
  <si>
    <t>Duxetine 30mg Cap</t>
  </si>
  <si>
    <t>DYN01I</t>
  </si>
  <si>
    <t>Dynastat 40mg Vial</t>
  </si>
  <si>
    <t>DYS01I</t>
  </si>
  <si>
    <t>Dysport 500u Vial</t>
  </si>
  <si>
    <t>EAR01E</t>
  </si>
  <si>
    <t>Earflo Otic Soln 3mg/ml;5ml</t>
  </si>
  <si>
    <t>EAS01E</t>
  </si>
  <si>
    <t>Easy Antiseptic Liq 2% 200mL Bot (粉紅)</t>
  </si>
  <si>
    <t>EAS02E</t>
  </si>
  <si>
    <t>Easy Antiseptic Soln 2% 30ml Tube</t>
  </si>
  <si>
    <t>ECO03E</t>
  </si>
  <si>
    <t>Econazine Cream 10gm Tube</t>
  </si>
  <si>
    <t>ECT02O</t>
  </si>
  <si>
    <t>Ectrin 300mg Cap</t>
  </si>
  <si>
    <t>EDA01O</t>
  </si>
  <si>
    <t>Edarbi 40mg Tab</t>
  </si>
  <si>
    <t>EDI01O</t>
  </si>
  <si>
    <t>Ediol FC 1mg Tab</t>
  </si>
  <si>
    <t>EFE02O</t>
  </si>
  <si>
    <t>EFFEXOR XR 75mg Cap</t>
  </si>
  <si>
    <t>EFE03O</t>
  </si>
  <si>
    <t>Effexor XR 37.5mg Cap#</t>
  </si>
  <si>
    <t>EFI01O</t>
  </si>
  <si>
    <t>EFIENT 5MG TAB</t>
  </si>
  <si>
    <t>EFI02O</t>
  </si>
  <si>
    <t>Efient 3.75mg Tab#</t>
  </si>
  <si>
    <t>EFI03O</t>
  </si>
  <si>
    <t>EFIENT 20MG OD TAB (恩慈)</t>
  </si>
  <si>
    <t>EFU01E</t>
  </si>
  <si>
    <t>Efucon Gel 7.5mg/gm; 15gm</t>
  </si>
  <si>
    <t>ELI01I</t>
  </si>
  <si>
    <t>Eligard 22.5mg Syringe</t>
  </si>
  <si>
    <t>ELI02E</t>
  </si>
  <si>
    <t>Elidel Cream 1% 10gm Tube#</t>
  </si>
  <si>
    <t>ELI02I</t>
  </si>
  <si>
    <t>Eligard 7.5mg Syringe</t>
  </si>
  <si>
    <t>ELI02O</t>
  </si>
  <si>
    <t>ELIQUIS FC 5MG TAB#</t>
  </si>
  <si>
    <t>ELI03E</t>
  </si>
  <si>
    <t>Elisone Cream 0.1% 5g</t>
  </si>
  <si>
    <t>ELI03O</t>
  </si>
  <si>
    <t>Eliquis FC 2.5mg Tab#</t>
  </si>
  <si>
    <t>ELT01O</t>
  </si>
  <si>
    <t>Eltroxin 50mcg Tab</t>
  </si>
  <si>
    <t>EME01O</t>
  </si>
  <si>
    <t>Emetrol 10mg Tab</t>
  </si>
  <si>
    <t>EME02O</t>
  </si>
  <si>
    <t>Emend 80mg Cap</t>
  </si>
  <si>
    <t>EME03O</t>
  </si>
  <si>
    <t>Emend 125mg Cap</t>
  </si>
  <si>
    <t>EML01E</t>
  </si>
  <si>
    <t>Emla Cream 5% 5gm Tube</t>
  </si>
  <si>
    <t>ENB01I</t>
  </si>
  <si>
    <t>ENBREL 50mg Syringe#</t>
  </si>
  <si>
    <t>ENB02I</t>
  </si>
  <si>
    <t>Enbrel 25mg Syringe#</t>
  </si>
  <si>
    <t>END02O</t>
  </si>
  <si>
    <t>Endoxan 50mg Tab#</t>
  </si>
  <si>
    <t>ENG01I</t>
  </si>
  <si>
    <t>Engerix-B (自費) 20mcg/1ml Vial</t>
  </si>
  <si>
    <t>ENG03I</t>
  </si>
  <si>
    <t>Engerix-B 10 10mcg/0.5ml(公費) vial</t>
  </si>
  <si>
    <t>ENO01E</t>
  </si>
  <si>
    <t>Enoxolone Gingival Paste 80gm Tube</t>
  </si>
  <si>
    <t>ENS01I</t>
  </si>
  <si>
    <t>Enspryng 120mg Syringe</t>
  </si>
  <si>
    <t>ENT01I</t>
  </si>
  <si>
    <t>Entyvio 300mg Vial</t>
  </si>
  <si>
    <t>ENT01O</t>
  </si>
  <si>
    <t>Entresto 100mg Tab#</t>
  </si>
  <si>
    <t>ENT02I</t>
  </si>
  <si>
    <t>Entyvio (恩慈) 300mg Vial</t>
  </si>
  <si>
    <t>ENT02O</t>
  </si>
  <si>
    <t>ENTRESTO 200MG TAB#</t>
  </si>
  <si>
    <t>ENT03O</t>
  </si>
  <si>
    <t>Entresto 50mg Tab#</t>
  </si>
  <si>
    <t>ENV01I</t>
  </si>
  <si>
    <t>EnVAX-A71 Vaccine 0.5mL Syringe</t>
  </si>
  <si>
    <t>ENV02I</t>
  </si>
  <si>
    <t>Envacgen Vaccine 0.5mL Syringe</t>
  </si>
  <si>
    <t>EPB01O</t>
  </si>
  <si>
    <t>Epbutol 400mg Tab#</t>
  </si>
  <si>
    <t>EPC01O</t>
  </si>
  <si>
    <t>Epclusa 400/100mg Tab</t>
  </si>
  <si>
    <t>EPH01I</t>
  </si>
  <si>
    <t>Ephedrine 40mg/1ml Amp</t>
  </si>
  <si>
    <t>EPI01E</t>
  </si>
  <si>
    <t>Epirenin Solution 500ML</t>
  </si>
  <si>
    <t>EPO02I</t>
  </si>
  <si>
    <t>Eprex 2000IU/0.5mL Syringe#</t>
  </si>
  <si>
    <t>EQU01O</t>
  </si>
  <si>
    <t>Equfina 50mg Tab</t>
  </si>
  <si>
    <t>ERA01I</t>
  </si>
  <si>
    <t>Eraxis 100mg Vial#</t>
  </si>
  <si>
    <t>ERA01O</t>
  </si>
  <si>
    <t>Eraflu 75mg Cap (疾管署公費)</t>
  </si>
  <si>
    <t>ERA02O</t>
  </si>
  <si>
    <t>Eraflu 75mg Cap (自費)</t>
  </si>
  <si>
    <t>ERE01I</t>
  </si>
  <si>
    <t>Erelzi 50mg/1mL Pen</t>
  </si>
  <si>
    <t>ERG01O</t>
  </si>
  <si>
    <t>Ergometrine 0.2mg Tab</t>
  </si>
  <si>
    <t>ERL01O</t>
  </si>
  <si>
    <t>Erleada 60mg Tab</t>
  </si>
  <si>
    <t>ERY03O</t>
  </si>
  <si>
    <t>Erythromycin 250mg Cap#</t>
  </si>
  <si>
    <t>ESM01I</t>
  </si>
  <si>
    <t>Esmeron 50mg/5ml Vial</t>
  </si>
  <si>
    <t>ESM02I</t>
  </si>
  <si>
    <t>Esmolol 100mg/10ml Vial</t>
  </si>
  <si>
    <t>EST04O</t>
  </si>
  <si>
    <t>Estromon 0.625mg Tab</t>
  </si>
  <si>
    <t>ESV01E</t>
  </si>
  <si>
    <t>Esvatin Vag 0.5mg Tab</t>
  </si>
  <si>
    <t>ESZ01O</t>
  </si>
  <si>
    <t>Eszo 2mg Tab #4</t>
  </si>
  <si>
    <t>ETU01O</t>
  </si>
  <si>
    <t>Etumine 40mg Tab</t>
  </si>
  <si>
    <t>EUR02O</t>
  </si>
  <si>
    <t>Euricon 50mg Tab#</t>
  </si>
  <si>
    <t>EVA01E</t>
  </si>
  <si>
    <t>Evac Enema</t>
  </si>
  <si>
    <t>EVE01I</t>
  </si>
  <si>
    <t>Evenity 105mg/1.17ml; 2vial/Box#</t>
  </si>
  <si>
    <t>EVI01O</t>
  </si>
  <si>
    <t>Evista 60mg Tab#</t>
  </si>
  <si>
    <t>EVO01O</t>
  </si>
  <si>
    <t>Evoxac 30mg Cap#</t>
  </si>
  <si>
    <t>EXE01E</t>
  </si>
  <si>
    <t>Exelderm Cream 10gm Tube</t>
  </si>
  <si>
    <t>EXE02E</t>
  </si>
  <si>
    <t>Exelderm Solution 1% 10ml</t>
  </si>
  <si>
    <t>EXE03E</t>
  </si>
  <si>
    <t>Exelon Patch 4.6mg/24hrs#</t>
  </si>
  <si>
    <t>EXE04O</t>
  </si>
  <si>
    <t>Exelon 3mg Cap#</t>
  </si>
  <si>
    <t>EXE05O</t>
  </si>
  <si>
    <t>EXELON 4.5mg Cap#</t>
  </si>
  <si>
    <t>EXE06O</t>
  </si>
  <si>
    <t>Exelon 6mg Cap#</t>
  </si>
  <si>
    <t>EXF01O</t>
  </si>
  <si>
    <t>Exforge(二合一) 5/80mg Tab</t>
  </si>
  <si>
    <t>EXT01I</t>
  </si>
  <si>
    <t>Extencilline 2.4MUI Vial</t>
  </si>
  <si>
    <t>EYB01E</t>
  </si>
  <si>
    <t>Eybelis 0.002% 2.5ml Bot</t>
  </si>
  <si>
    <t>EYL01I</t>
  </si>
  <si>
    <t>Eylea 2mg/0.05mL Vial#</t>
  </si>
  <si>
    <t>EYL02I</t>
  </si>
  <si>
    <t>Eylea (恩慈) 2mg/0.05mL Vial</t>
  </si>
  <si>
    <t>EYL03I</t>
  </si>
  <si>
    <t>EYLEA 8MG/70MCL VIAL</t>
  </si>
  <si>
    <t>EYL04I</t>
  </si>
  <si>
    <t>EYLEA (恩慈) 8MG/70MCL VIAL</t>
  </si>
  <si>
    <t>EZE01O</t>
  </si>
  <si>
    <t>Ezetrol 10mg Tab#</t>
  </si>
  <si>
    <t>FAB01I</t>
  </si>
  <si>
    <t>Fabrazyme 35mg Vial</t>
  </si>
  <si>
    <t>FAM01O</t>
  </si>
  <si>
    <t>Famo 20mg Tab#</t>
  </si>
  <si>
    <t>FAM02O</t>
  </si>
  <si>
    <t>Famvir 250mg Tab</t>
  </si>
  <si>
    <t>FAS01I</t>
  </si>
  <si>
    <t>Faslodex 250mg/5ml Syringe</t>
  </si>
  <si>
    <t>FAS02I</t>
  </si>
  <si>
    <t>Faslodex (恩慈) 250mg/5ml Syringe</t>
  </si>
  <si>
    <t>FAS03I</t>
  </si>
  <si>
    <t>Fasturtec 1.5mg/1ml Vial</t>
  </si>
  <si>
    <t>FAS04I</t>
  </si>
  <si>
    <t>Fasenra 30mg/1ml Syringe</t>
  </si>
  <si>
    <t>FEB01O</t>
  </si>
  <si>
    <t>Feburic FC 80mg Tab#</t>
  </si>
  <si>
    <t>FEB02I</t>
  </si>
  <si>
    <t>Fe-Back 40mg/2ml Amp</t>
  </si>
  <si>
    <t>FEL02O</t>
  </si>
  <si>
    <t>Felpin ER 5mg Tab</t>
  </si>
  <si>
    <t>FEM01O</t>
  </si>
  <si>
    <t>Femara 2.5mg Tab#</t>
  </si>
  <si>
    <t>FEN01E</t>
  </si>
  <si>
    <t>Fentanyl Patch 25mcg/h(NBCD) #2</t>
  </si>
  <si>
    <t>FEN01I</t>
  </si>
  <si>
    <t>Fentanyl 0.5mg/10ml Amp #2</t>
  </si>
  <si>
    <t>FEN02E</t>
  </si>
  <si>
    <t>FENTANYL TTS 50mcg/h #2</t>
  </si>
  <si>
    <t>FEN03E</t>
  </si>
  <si>
    <t>Fentanyl Patch 12.5mcg/hr #2</t>
  </si>
  <si>
    <t>FEN06I</t>
  </si>
  <si>
    <t>Fentanyl (PPCD) 0.1mg/2ml Amp #2</t>
  </si>
  <si>
    <t>FER01I</t>
  </si>
  <si>
    <t>Feronsure 3MIU/0.5ml Syringe</t>
  </si>
  <si>
    <t>FER03O</t>
  </si>
  <si>
    <t>Ferrum Hausmann 100mg Chewable Tab</t>
  </si>
  <si>
    <t>FES01E</t>
  </si>
  <si>
    <t>Fespixon Cream 1.25% 3g Tube</t>
  </si>
  <si>
    <t>FET01I</t>
  </si>
  <si>
    <t>Fetroja 1gm Vial</t>
  </si>
  <si>
    <t>FIL01I</t>
  </si>
  <si>
    <t>Filgrastim 75mcg/0.3ml Amp (G-CSF)#</t>
  </si>
  <si>
    <t>FIL03I</t>
  </si>
  <si>
    <t>FILGRASTIM 150MCG/0.6ML AMP</t>
  </si>
  <si>
    <t>FIR01I</t>
  </si>
  <si>
    <t>Firmagon 80mg/4ml Inj Vial</t>
  </si>
  <si>
    <t>FLE02I</t>
  </si>
  <si>
    <t>Flexbumin 25% 50mL Bag</t>
  </si>
  <si>
    <t>FLI03E</t>
  </si>
  <si>
    <t>Flixotide Evohaler 50mcg/d;120d</t>
  </si>
  <si>
    <t>FLO01O</t>
  </si>
  <si>
    <t>Florinef 0.1mg Tab</t>
  </si>
  <si>
    <t>FLU01O</t>
  </si>
  <si>
    <t>Flupine 0.25mg Tab#4</t>
  </si>
  <si>
    <t>FLU01S</t>
  </si>
  <si>
    <t>Fluzole Susp 40mg/mL; 35mL Bot</t>
  </si>
  <si>
    <t>FLU02E</t>
  </si>
  <si>
    <t>Flucason 0.02% 5ml Bot</t>
  </si>
  <si>
    <t>FLU02O</t>
  </si>
  <si>
    <t>Flusine 500mg Tab</t>
  </si>
  <si>
    <t>FLU03O</t>
  </si>
  <si>
    <t>Fluitran 2mg Tab</t>
  </si>
  <si>
    <t>FLU04O</t>
  </si>
  <si>
    <t>Fluzine 5mg Tab</t>
  </si>
  <si>
    <t>FLU05I</t>
  </si>
  <si>
    <t>Fluanxol Depot 20mg/1ml Amp</t>
  </si>
  <si>
    <t>FLU06O</t>
  </si>
  <si>
    <t>Fluene 50mg Cap#</t>
  </si>
  <si>
    <t>FLU07I</t>
  </si>
  <si>
    <t>Fluorescite Inj 10% 5mL Vial</t>
  </si>
  <si>
    <t>FLU09E</t>
  </si>
  <si>
    <t>FluMist (鼻噴自費) 0.2mL Syringe</t>
  </si>
  <si>
    <t>FLU09O</t>
  </si>
  <si>
    <t>Fluoxetine 20mg Cap (CYH)</t>
  </si>
  <si>
    <t>FLU10I</t>
  </si>
  <si>
    <t>Fluarix Trivalent (公費) 0.5mL Syringe</t>
  </si>
  <si>
    <t>FLU11I</t>
  </si>
  <si>
    <t>Flumarin 1gm Vial#</t>
  </si>
  <si>
    <t>FLU18I</t>
  </si>
  <si>
    <t>Flucelvax (公費) 0.5mL Syringe</t>
  </si>
  <si>
    <t>FLU19I</t>
  </si>
  <si>
    <t>Flucelvax (自費) 0.5mL Syringe</t>
  </si>
  <si>
    <t>FLU22I</t>
  </si>
  <si>
    <t>Fluad (佐劑自費) 0.5mL Syringe</t>
  </si>
  <si>
    <t>FOL01O</t>
  </si>
  <si>
    <t>Folic Acid 5mg Tab</t>
  </si>
  <si>
    <t>FOL02O</t>
  </si>
  <si>
    <t>Folina 15mg Tab</t>
  </si>
  <si>
    <t>FON01O</t>
  </si>
  <si>
    <t>Fonosil 10mg Tab#</t>
  </si>
  <si>
    <t>FOR01I</t>
  </si>
  <si>
    <t>Forteo Inj 28d/2.4ml#</t>
  </si>
  <si>
    <t>FOR01O</t>
  </si>
  <si>
    <t>Forxiga 10mg Tab#</t>
  </si>
  <si>
    <t>FOR02O</t>
  </si>
  <si>
    <t>Forlax 10g pack</t>
  </si>
  <si>
    <t>FOS01E</t>
  </si>
  <si>
    <t>Foster Inh. 100/6mcg/dose#</t>
  </si>
  <si>
    <t>FOS02E</t>
  </si>
  <si>
    <t>FOSTER NEXTHALER Inh. 100/6mcg/dose</t>
  </si>
  <si>
    <t>FOS04O</t>
  </si>
  <si>
    <t>Fosamax Plus 70mg/5600 IU Tab#</t>
  </si>
  <si>
    <t>FOS05O</t>
  </si>
  <si>
    <t>Fosrenol Chewable 750mg 15Tab/Bot</t>
  </si>
  <si>
    <t>FOY01I</t>
  </si>
  <si>
    <t>Foy For Injection 100mg Vial</t>
  </si>
  <si>
    <t>FRA01I</t>
  </si>
  <si>
    <t>Fragmin 5000iu/0.2ml</t>
  </si>
  <si>
    <t>FRE01I</t>
  </si>
  <si>
    <t>Fresofol 200mg/20ml Amp#4</t>
  </si>
  <si>
    <t>FRE02I</t>
  </si>
  <si>
    <t>FRESOFOL 500mg/50ml Vial#4</t>
  </si>
  <si>
    <t>FRI01O</t>
  </si>
  <si>
    <t>Frisium 10mg Tab #4</t>
  </si>
  <si>
    <t>FRU01O</t>
  </si>
  <si>
    <t>Fruzaqla 1mg Cap</t>
  </si>
  <si>
    <t>FUC02O</t>
  </si>
  <si>
    <t>Fucon 10mg Tab</t>
  </si>
  <si>
    <t>FUC03E</t>
  </si>
  <si>
    <t>Fucidin Cream 2% 15gm</t>
  </si>
  <si>
    <t>FUL03I</t>
  </si>
  <si>
    <t>Fulphila 6mg/0.6ml Syringe</t>
  </si>
  <si>
    <t>FUL04I</t>
  </si>
  <si>
    <t>Fulphila (恩慈) 6mg/0.6ml Syringe</t>
  </si>
  <si>
    <t>FUM01S</t>
  </si>
  <si>
    <t>Fumide Oral Sol 10mg/ml;120ml#</t>
  </si>
  <si>
    <t>FUR02I</t>
  </si>
  <si>
    <t>Furoxime 750mg Vial#</t>
  </si>
  <si>
    <t>FUS01O</t>
  </si>
  <si>
    <t>Fusodate 250mg Tab</t>
  </si>
  <si>
    <t>FUS02E</t>
  </si>
  <si>
    <t>Fuskin Cream 100mg/5gm</t>
  </si>
  <si>
    <t>FUS03E</t>
  </si>
  <si>
    <t>Fusone Eye Drops 0.1% 0.5mL Amp</t>
  </si>
  <si>
    <t>GAL02O</t>
  </si>
  <si>
    <t>Galvus Met 50/850 Tab#</t>
  </si>
  <si>
    <t>GAR03I</t>
  </si>
  <si>
    <t>GARDASIL 9 Vaccine 0.5ml Syringe</t>
  </si>
  <si>
    <t>GAS07O</t>
  </si>
  <si>
    <t>Gaslan 40mg Tab</t>
  </si>
  <si>
    <t>GAV01O</t>
  </si>
  <si>
    <t>Gavreto 100mg Cap</t>
  </si>
  <si>
    <t>GEN01O</t>
  </si>
  <si>
    <t>Genurso 100mg Tab</t>
  </si>
  <si>
    <t>GEN06E</t>
  </si>
  <si>
    <t>GenterMAY Cream 5mg/5gm</t>
  </si>
  <si>
    <t>GEN07E</t>
  </si>
  <si>
    <t>Gentamycin Oph Oint 15mg/5gm GCPC</t>
  </si>
  <si>
    <t>GEN11I</t>
  </si>
  <si>
    <t>Gendobu 250mg/20ml Vial</t>
  </si>
  <si>
    <t>GEN12I</t>
  </si>
  <si>
    <t>Genso 25mg/2.5ml Amp</t>
  </si>
  <si>
    <t>GEO02O</t>
  </si>
  <si>
    <t>Geodon 40mg Cap</t>
  </si>
  <si>
    <t>GES01O</t>
  </si>
  <si>
    <t>Gestrin 2.5mg Cap</t>
  </si>
  <si>
    <t>GIK01O</t>
  </si>
  <si>
    <t>GI Klean Powder</t>
  </si>
  <si>
    <t>GIK02O</t>
  </si>
  <si>
    <t>Giko F.C. 9.6mg Tab</t>
  </si>
  <si>
    <t>GIO01O</t>
  </si>
  <si>
    <t>GIOTRIF FC 40mg Tab</t>
  </si>
  <si>
    <t>GIO02O</t>
  </si>
  <si>
    <t>Giotrif FC 30mg Tab</t>
  </si>
  <si>
    <t>GIP01I</t>
  </si>
  <si>
    <t>Gipamine 600mg/200mL Bag</t>
  </si>
  <si>
    <t>GIT01I</t>
  </si>
  <si>
    <t>Gitose 5% 250ml 軟袋</t>
  </si>
  <si>
    <t>GIT02I</t>
  </si>
  <si>
    <t>Gitose 5% 500ml 軟袋</t>
  </si>
  <si>
    <t>GIT03I</t>
  </si>
  <si>
    <t>Gitose 5% 100ml 軟袋</t>
  </si>
  <si>
    <t>GLU03I</t>
  </si>
  <si>
    <t>Vitagen 20%/20ml Amp</t>
  </si>
  <si>
    <t>GLU04I</t>
  </si>
  <si>
    <t>Vitagen 50%/20ml Amp</t>
  </si>
  <si>
    <t>GLU07O</t>
  </si>
  <si>
    <t>Glucophage 500mg Tab</t>
  </si>
  <si>
    <t>GLU13I</t>
  </si>
  <si>
    <t>Vitagen Inj 5% 500ml 塑膠瓶</t>
  </si>
  <si>
    <t>GLU18I</t>
  </si>
  <si>
    <t>Dextrose 5%+0.33% Saline 500ml 塑膠瓶</t>
  </si>
  <si>
    <t>GLU25I</t>
  </si>
  <si>
    <t>Dextrose 5%/0.9% Saline 500ml 塑膠瓶</t>
  </si>
  <si>
    <t>GLU28O</t>
  </si>
  <si>
    <t>Glustrong 250mg Cap#</t>
  </si>
  <si>
    <t>GLU29I</t>
  </si>
  <si>
    <t>Glucagen 1mg Vial</t>
  </si>
  <si>
    <t>GLU30I</t>
  </si>
  <si>
    <t>Gluco-methionin B Inj 20ml Amp</t>
  </si>
  <si>
    <t>GLY01O</t>
  </si>
  <si>
    <t>Glycopyrodyn 1mg Tab</t>
  </si>
  <si>
    <t>GLY02I</t>
  </si>
  <si>
    <t>Glypressin(新) inj 0.1mg/mL Amp</t>
  </si>
  <si>
    <t>GLY02O</t>
  </si>
  <si>
    <t>Glyxambi 25/5mg Tab#</t>
  </si>
  <si>
    <t>GLY08I</t>
  </si>
  <si>
    <t>Glycopyrodyn Inj 0.2mg/1ml Amp</t>
  </si>
  <si>
    <t>GLY11I</t>
  </si>
  <si>
    <t>Glycetose 10% 300ml</t>
  </si>
  <si>
    <t>HAL01I</t>
  </si>
  <si>
    <t>Haldol 5mg/1ml Amp</t>
  </si>
  <si>
    <t>HAL02O</t>
  </si>
  <si>
    <t>Halcion 0.25mg Tab #3</t>
  </si>
  <si>
    <t>HAR04O</t>
  </si>
  <si>
    <t>HARNALIDGE OCAS 0.4mg Tab</t>
  </si>
  <si>
    <t>HAV04I</t>
  </si>
  <si>
    <t>Havrix 720u/0.5ml Syringe (公費)</t>
  </si>
  <si>
    <t>HEM11I</t>
  </si>
  <si>
    <t>Hemoclot 500mg/5mL Amp</t>
  </si>
  <si>
    <t>HEP01I</t>
  </si>
  <si>
    <t>Heparin 25000iu/5ml Vial</t>
  </si>
  <si>
    <t>HEP08I</t>
  </si>
  <si>
    <t>Hepatect CP 500iu/10ml Vial</t>
  </si>
  <si>
    <t>HEP11I</t>
  </si>
  <si>
    <t>HepatitisB ImmuneGlobulin (公費) 0.5ml</t>
  </si>
  <si>
    <t>HEP16I</t>
  </si>
  <si>
    <t>Hepac Lock Flush 1000u/10ml Syringe</t>
  </si>
  <si>
    <t>HER08I</t>
  </si>
  <si>
    <t>Herbesser Injection 50mg Vial</t>
  </si>
  <si>
    <t>HID02O</t>
  </si>
  <si>
    <t>Hidrasec Granules 10mg Pack</t>
  </si>
  <si>
    <t>HUM08I</t>
  </si>
  <si>
    <t>Humira 40mg Syringe#</t>
  </si>
  <si>
    <t>HUM12I</t>
  </si>
  <si>
    <t>Humalog Mix 25 KwikPen 300U/3ml#</t>
  </si>
  <si>
    <t>HUM14I</t>
  </si>
  <si>
    <t>HUMALOG MIX 50 300U/3ml KwikPen#</t>
  </si>
  <si>
    <t>HYD02E</t>
  </si>
  <si>
    <t>Hydrocortisone Cream 100mg/10gm</t>
  </si>
  <si>
    <t>HYD03E</t>
  </si>
  <si>
    <t>H2O2 3% 450ml Bot (洸洋)</t>
  </si>
  <si>
    <t>HYD04O</t>
  </si>
  <si>
    <t>Hydrea 500mg Cap#</t>
  </si>
  <si>
    <t>HYZ01O</t>
  </si>
  <si>
    <t>Hyzaar FC 100/12.5 MG Tab#</t>
  </si>
  <si>
    <t>IBI01O</t>
  </si>
  <si>
    <t>Ibimo C.R. 60mg Tab</t>
  </si>
  <si>
    <t>IBR01O</t>
  </si>
  <si>
    <t>IBRANCE 125MG CAP</t>
  </si>
  <si>
    <t>IBR02O</t>
  </si>
  <si>
    <t>Ibrance 100mg Cap</t>
  </si>
  <si>
    <t>ICH01E</t>
  </si>
  <si>
    <t>Ichderm Cream 5%/15gm</t>
  </si>
  <si>
    <t>IDO02S</t>
  </si>
  <si>
    <t>Idofen Susp 2400mg/120ml Bot#</t>
  </si>
  <si>
    <t>IMB01O</t>
  </si>
  <si>
    <t>Imbruvica 140mg Cap#</t>
  </si>
  <si>
    <t>IMI01E</t>
  </si>
  <si>
    <t>Imigran 20mg Nasal Spray</t>
  </si>
  <si>
    <t>IMI02O</t>
  </si>
  <si>
    <t>Imigran FDT 50mg Tab</t>
  </si>
  <si>
    <t>IMO02O</t>
  </si>
  <si>
    <t>Imovane 7.5mg Tab #4</t>
  </si>
  <si>
    <t>IMO03I</t>
  </si>
  <si>
    <t>Imojev (公費) 0.5ml Syringe</t>
  </si>
  <si>
    <t>IMU01O</t>
  </si>
  <si>
    <t>Imuran 50mg Tab</t>
  </si>
  <si>
    <t>IND06O</t>
  </si>
  <si>
    <t>Indoy 25mg Cap</t>
  </si>
  <si>
    <t>INF06I</t>
  </si>
  <si>
    <t>Infanrix 0.5ml Vial(公費)</t>
  </si>
  <si>
    <t>INL02O</t>
  </si>
  <si>
    <t>INLYTA FC 5MG TAB</t>
  </si>
  <si>
    <t>INR01O</t>
  </si>
  <si>
    <t>Inrebic 100mg Cap</t>
  </si>
  <si>
    <t>INS01O</t>
  </si>
  <si>
    <t>Inspra F.C. Tablets 50mg#</t>
  </si>
  <si>
    <t>INS03I</t>
  </si>
  <si>
    <t>Insulatard HM(NPH) 1000iu/10ml Vial</t>
  </si>
  <si>
    <t>INV01I</t>
  </si>
  <si>
    <t>Invanz 1gm Vial#</t>
  </si>
  <si>
    <t>INV01O</t>
  </si>
  <si>
    <t>Invega ER 3mg Tab#</t>
  </si>
  <si>
    <t>INV02I</t>
  </si>
  <si>
    <t>Invega Sustenna 100mg/1ml Syringe#</t>
  </si>
  <si>
    <t>INV02O</t>
  </si>
  <si>
    <t>INVEGA ER 9mg Tab#</t>
  </si>
  <si>
    <t>INV03I</t>
  </si>
  <si>
    <t>INVEGA SUSTENNA 150mg/1.5ml Syringe#</t>
  </si>
  <si>
    <t>INV04I</t>
  </si>
  <si>
    <t>Invega Trinza 350mg Syringe</t>
  </si>
  <si>
    <t>INV05I</t>
  </si>
  <si>
    <t>INVEGA TRINZA 525mg Syringe</t>
  </si>
  <si>
    <t>INV07I</t>
  </si>
  <si>
    <t>INVEGA HAFYERA 1000mg Syringe</t>
  </si>
  <si>
    <t>IOP05I</t>
  </si>
  <si>
    <t>Iopamiro 300 (專科) 50ml Bot</t>
  </si>
  <si>
    <t>IPR02E</t>
  </si>
  <si>
    <t>Ipratran Inh Soln 500mcg/2ml</t>
  </si>
  <si>
    <t>IRE01O</t>
  </si>
  <si>
    <t>Iressa 250mg Tab#</t>
  </si>
  <si>
    <t>ISO06O</t>
  </si>
  <si>
    <t>Isoniazide 100mg Tab#</t>
  </si>
  <si>
    <t>ISO07O</t>
  </si>
  <si>
    <t>IsoMIL(Verapamil) 40mg Tab</t>
  </si>
  <si>
    <t>ISO08O</t>
  </si>
  <si>
    <t>ISOPTIN SR 240MG TAB</t>
  </si>
  <si>
    <t>ISO09O</t>
  </si>
  <si>
    <t>Isormol(Is-5-Mn) 20mg Tab</t>
  </si>
  <si>
    <t>ISO12O</t>
  </si>
  <si>
    <t>Isobide 10mg Tab</t>
  </si>
  <si>
    <t>JAD01O</t>
  </si>
  <si>
    <t>Jadenu 360mg Tab#</t>
  </si>
  <si>
    <t>JAK01O</t>
  </si>
  <si>
    <t>Jakavi 5mg Tab#</t>
  </si>
  <si>
    <t>JAK02O</t>
  </si>
  <si>
    <t>JAKAVI 20MG TAB</t>
  </si>
  <si>
    <t>JAK03O</t>
  </si>
  <si>
    <t>JAKAVI 15MG TAB</t>
  </si>
  <si>
    <t>JAN01O</t>
  </si>
  <si>
    <t>Januvia 100mg Tab#</t>
  </si>
  <si>
    <t>JAN02O</t>
  </si>
  <si>
    <t>JANUMET 50/500 mg FC Tab#</t>
  </si>
  <si>
    <t>JAR01O</t>
  </si>
  <si>
    <t>Jardiance 10mg Tab#</t>
  </si>
  <si>
    <t>JAR02O</t>
  </si>
  <si>
    <t>JARDIANCE DUO 12.5/850mg Tab</t>
  </si>
  <si>
    <t>JIN01O</t>
  </si>
  <si>
    <t>Jinarc 15mg 28tab/Box</t>
  </si>
  <si>
    <t>JIN02O</t>
  </si>
  <si>
    <t>JINARC 30MG 28TAB/BOX</t>
  </si>
  <si>
    <t>JIN03O</t>
  </si>
  <si>
    <t>JINARC 45MG 28TAB/BOX</t>
  </si>
  <si>
    <t>JIN04O</t>
  </si>
  <si>
    <t>JINARC 60MG 28TAB/BOX</t>
  </si>
  <si>
    <t>JIN05O</t>
  </si>
  <si>
    <t>JINARC 90MG 28TAB/BOX</t>
  </si>
  <si>
    <t>JUN01E</t>
  </si>
  <si>
    <t>Jun Less 0.5% 500mL Bot</t>
  </si>
  <si>
    <t>JUV01O</t>
  </si>
  <si>
    <t>Juvela N 200mg Cap</t>
  </si>
  <si>
    <t>JYS01O</t>
  </si>
  <si>
    <t>Jyseleca FC 200mg Tab</t>
  </si>
  <si>
    <t>KAL01O</t>
  </si>
  <si>
    <t>Kalimate powder 5gm pack</t>
  </si>
  <si>
    <t>KAR01E</t>
  </si>
  <si>
    <t>Kary Uni Oph Susp 0.25mg/5ml Bot</t>
  </si>
  <si>
    <t>KCB01O</t>
  </si>
  <si>
    <t>KCB 120mg Tab</t>
  </si>
  <si>
    <t>KCI01O</t>
  </si>
  <si>
    <t>K-Citrate Granules 5gm/Pack</t>
  </si>
  <si>
    <t>KEL01E</t>
  </si>
  <si>
    <t>Kelac Oph Soln 0.5% 5ml Bot</t>
  </si>
  <si>
    <t>KEP01I</t>
  </si>
  <si>
    <t>Keppra Inj 500mg/5ml Vial</t>
  </si>
  <si>
    <t>KEP01O</t>
  </si>
  <si>
    <t>Keppra 500mg Tab</t>
  </si>
  <si>
    <t>KEP01S</t>
  </si>
  <si>
    <t>Keppra Oral Soln 100mg/ml;300ml Bot#</t>
  </si>
  <si>
    <t>KER02O</t>
  </si>
  <si>
    <t>Kerendia FC 10mg Tab</t>
  </si>
  <si>
    <t>KER03O</t>
  </si>
  <si>
    <t>KERENDIA FC 20MG TAB</t>
  </si>
  <si>
    <t>KET01E</t>
  </si>
  <si>
    <t>KETO PAP 30mg 6piece/Pack</t>
  </si>
  <si>
    <t>KET01I</t>
  </si>
  <si>
    <t>Ketalar 500mg/10ml Inj #3</t>
  </si>
  <si>
    <t>KET04O</t>
  </si>
  <si>
    <t>Ketosteril Tab</t>
  </si>
  <si>
    <t>KET05I</t>
  </si>
  <si>
    <t>Keto 30mg/1ml Amp</t>
  </si>
  <si>
    <t>KGL01S</t>
  </si>
  <si>
    <t>K-Glu oral solution 20meq/15ml</t>
  </si>
  <si>
    <t>KID01S</t>
  </si>
  <si>
    <t>Kidsolone Oral Soln 1.344mg/ml;60ml Bot</t>
  </si>
  <si>
    <t>KIS01O</t>
  </si>
  <si>
    <t>Kisqali 200mg Tab</t>
  </si>
  <si>
    <t>KLA01O</t>
  </si>
  <si>
    <t>Klaricid XL 500mg Tab#</t>
  </si>
  <si>
    <t>KOC01O</t>
  </si>
  <si>
    <t>Kocel 6gm Pack</t>
  </si>
  <si>
    <t>KRE03O</t>
  </si>
  <si>
    <t>Kremezin 2g 4Tab/Pack</t>
  </si>
  <si>
    <t>LAB01O</t>
  </si>
  <si>
    <t>Labtal 200mg Tab</t>
  </si>
  <si>
    <t>LAC02I</t>
  </si>
  <si>
    <t>Lactated Ringer 0.5L 塑膠瓶</t>
  </si>
  <si>
    <t>LAC03S</t>
  </si>
  <si>
    <t>Lactul Syrup 300ml Bot</t>
  </si>
  <si>
    <t>LAI01O</t>
  </si>
  <si>
    <t>Laidec F.C 50mg Tab</t>
  </si>
  <si>
    <t>LAM02O</t>
  </si>
  <si>
    <t>Lamictal 50mg Tab</t>
  </si>
  <si>
    <t>LAN02O</t>
  </si>
  <si>
    <t>Lanoxin 0.25mg Tab (Digoxin)</t>
  </si>
  <si>
    <t>LAN03I</t>
  </si>
  <si>
    <t>Lanoxin 0.5mg/2ml Amp</t>
  </si>
  <si>
    <t>LAT01O</t>
  </si>
  <si>
    <t>Latuda 40mg Tab</t>
  </si>
  <si>
    <t>LCA01I</t>
  </si>
  <si>
    <t>L-Carnit 1g/5mL Amp</t>
  </si>
  <si>
    <t>LEE02O</t>
  </si>
  <si>
    <t>Leevk 100mg Tab#</t>
  </si>
  <si>
    <t>LEN03O</t>
  </si>
  <si>
    <t>Lendormin 250mcg Tab #4</t>
  </si>
  <si>
    <t>LEN04O</t>
  </si>
  <si>
    <t>LENVIMA 10MG CAP</t>
  </si>
  <si>
    <t>LEN05O</t>
  </si>
  <si>
    <t>Lenvima 4mg Cap</t>
  </si>
  <si>
    <t>LEQ01I</t>
  </si>
  <si>
    <t>Leqvio 284mg/1.5mL Syringe</t>
  </si>
  <si>
    <t>LEQ02I</t>
  </si>
  <si>
    <t>Leqembi 200mg Vial</t>
  </si>
  <si>
    <t>LES03O</t>
  </si>
  <si>
    <t>Lescol XL 80mg Tab#</t>
  </si>
  <si>
    <t>LES05O</t>
  </si>
  <si>
    <t>Lesiton 5mg Cap</t>
  </si>
  <si>
    <t>LEU05I</t>
  </si>
  <si>
    <t>Leuplin Depot 1M 3.75mg Syringe#</t>
  </si>
  <si>
    <t>LEU05O</t>
  </si>
  <si>
    <t>Leukeran 2mg Tab#</t>
  </si>
  <si>
    <t>LEU09I</t>
  </si>
  <si>
    <t>Leuplin Depot 3M 11.25mg Syringe</t>
  </si>
  <si>
    <t>LEV02I</t>
  </si>
  <si>
    <t>Levemir FlexPen 300iu/3ml#</t>
  </si>
  <si>
    <t>LEX04O</t>
  </si>
  <si>
    <t>Lexotan 1.5MG Tab #4</t>
  </si>
  <si>
    <t>LHR02I</t>
  </si>
  <si>
    <t>LHRH Ferring 0.1mg/1ml Amp</t>
  </si>
  <si>
    <t>LIC01O</t>
  </si>
  <si>
    <t>Licodin 100mg Tab#</t>
  </si>
  <si>
    <t>LID01E</t>
  </si>
  <si>
    <t>Lidopat Patch 5%</t>
  </si>
  <si>
    <t>LID01I</t>
  </si>
  <si>
    <t>Lidophrine 20ml Vial</t>
  </si>
  <si>
    <t>LID01O</t>
  </si>
  <si>
    <t>Lidin 300mg Tab</t>
  </si>
  <si>
    <t>LID02E</t>
  </si>
  <si>
    <t>Lidocaine Soln 4% 30ml</t>
  </si>
  <si>
    <t>LID03I</t>
  </si>
  <si>
    <t>Lidocaine HCl 心 2%/5ml Amp</t>
  </si>
  <si>
    <t>LID04I</t>
  </si>
  <si>
    <t>Lidocaine 局麻 2% 20mL Vial</t>
  </si>
  <si>
    <t>LIN01O</t>
  </si>
  <si>
    <t>Linicor F.C.T. 500/20mg#</t>
  </si>
  <si>
    <t>LIN03O</t>
  </si>
  <si>
    <t>Lindacin 150mg Cap</t>
  </si>
  <si>
    <t>LIP01O</t>
  </si>
  <si>
    <t>LipDOWN 300mg Cap#</t>
  </si>
  <si>
    <t>LIP13O</t>
  </si>
  <si>
    <t>Lipitor FC 20mg Tab#</t>
  </si>
  <si>
    <t>LIP14O</t>
  </si>
  <si>
    <t>Lipanthyl Supra 160mg Tab#</t>
  </si>
  <si>
    <t>LIV01O</t>
  </si>
  <si>
    <t>Livial 28tab/Box</t>
  </si>
  <si>
    <t>LIV02O</t>
  </si>
  <si>
    <t>Livalo 2mg Tab#</t>
  </si>
  <si>
    <t>LIX01O</t>
  </si>
  <si>
    <t>Lixiana FC 30mg Tab#</t>
  </si>
  <si>
    <t>LIX02O</t>
  </si>
  <si>
    <t>LIXIANA FC 60mg Tab#</t>
  </si>
  <si>
    <t>LIX03O</t>
  </si>
  <si>
    <t>Lixiana FC 15mg Tab</t>
  </si>
  <si>
    <t>LOK01O</t>
  </si>
  <si>
    <t>Lokelma Powder 5g Pack</t>
  </si>
  <si>
    <t>LOM02E</t>
  </si>
  <si>
    <t>Lomexin 200mg Vag Tab</t>
  </si>
  <si>
    <t>LON02O</t>
  </si>
  <si>
    <t>Lonine 200mg Cap</t>
  </si>
  <si>
    <t>LON04O</t>
  </si>
  <si>
    <t>LONSURF 20MG TAB</t>
  </si>
  <si>
    <t>LON05O</t>
  </si>
  <si>
    <t>Lonsurf 15mg Tab</t>
  </si>
  <si>
    <t>LON06O</t>
  </si>
  <si>
    <t>Lonfilis FC 5mg Tab</t>
  </si>
  <si>
    <t>LOP02O</t>
  </si>
  <si>
    <t>Loperam 2mg Cap</t>
  </si>
  <si>
    <t>LOR02O</t>
  </si>
  <si>
    <t>Lorviqua 25mg Tab</t>
  </si>
  <si>
    <t>LOW01I</t>
  </si>
  <si>
    <t>Low Mol. Dextran Dextrose 500mL Bag</t>
  </si>
  <si>
    <t>LOX01O</t>
  </si>
  <si>
    <t>Loxol SR 75mg Tab</t>
  </si>
  <si>
    <t>LUC01O</t>
  </si>
  <si>
    <t>Luckyhepa Cap#</t>
  </si>
  <si>
    <t>LUC02I</t>
  </si>
  <si>
    <t>Lucentis 10mg/mL Syringe</t>
  </si>
  <si>
    <t>LUC03I</t>
  </si>
  <si>
    <t>Lucentis (恩慈) 10mg/mL Syringe</t>
  </si>
  <si>
    <t>LUM01E</t>
  </si>
  <si>
    <t>Lumigan Eye Drops 0.03% 30amp/Box</t>
  </si>
  <si>
    <t>LUM03I</t>
  </si>
  <si>
    <t>Lumicef 210mg/1.5ml Syringe#</t>
  </si>
  <si>
    <t>LYA01I</t>
  </si>
  <si>
    <t>Lyacety 500mg Vial</t>
  </si>
  <si>
    <t>LYN01O</t>
  </si>
  <si>
    <t>Lynparza 150mg Tab</t>
  </si>
  <si>
    <t>LYR01O</t>
  </si>
  <si>
    <t>Lyrica 75mg Cap#</t>
  </si>
  <si>
    <t>MAC02O</t>
  </si>
  <si>
    <t>Macalol 0.25mcg Cap#</t>
  </si>
  <si>
    <t>MAD03O</t>
  </si>
  <si>
    <t>Madopar HBS 125mg Cap</t>
  </si>
  <si>
    <t>MAD04O</t>
  </si>
  <si>
    <t>MADOPAR 250 TABLETS</t>
  </si>
  <si>
    <t>MAG03I</t>
  </si>
  <si>
    <t>Mag. Sulfate 10%/20ml Amp</t>
  </si>
  <si>
    <t>MAG05O</t>
  </si>
  <si>
    <t>Magnesium Oxide Tab (Kingdom)</t>
  </si>
  <si>
    <t>MAN01I</t>
  </si>
  <si>
    <t>Maniton inj 20% 100ml</t>
  </si>
  <si>
    <t>MAR01I</t>
  </si>
  <si>
    <t>Marcaine 100mg/20ml Vial</t>
  </si>
  <si>
    <t>MAR02I</t>
  </si>
  <si>
    <t>Marcaine Spinal Heavy</t>
  </si>
  <si>
    <t>MAR03I</t>
  </si>
  <si>
    <t>Marcaine Spinal 0.5%/4ml Amp(麻開)</t>
  </si>
  <si>
    <t>MAV02O</t>
  </si>
  <si>
    <t>Mavenclad 10mg Tab</t>
  </si>
  <si>
    <t>MEC01O</t>
  </si>
  <si>
    <t>Meclizine 25mg Tab</t>
  </si>
  <si>
    <t>MEC02O</t>
  </si>
  <si>
    <t>Mecater 25mcg Tab</t>
  </si>
  <si>
    <t>MED02O</t>
  </si>
  <si>
    <t>Medicon-A Cap</t>
  </si>
  <si>
    <t>MEG04S</t>
  </si>
  <si>
    <t>Megest Oral Susp 40mg/ml;120ml</t>
  </si>
  <si>
    <t>MEK01O</t>
  </si>
  <si>
    <t>Mekinist 2mg Tab</t>
  </si>
  <si>
    <t>MEL02O</t>
  </si>
  <si>
    <t>Meletin 100mg Cap</t>
  </si>
  <si>
    <t>MEL03O</t>
  </si>
  <si>
    <t>Meloxin 7.5mg Tab</t>
  </si>
  <si>
    <t>MEN01I</t>
  </si>
  <si>
    <t>Menocik 100mg Vial</t>
  </si>
  <si>
    <t>MEN01O</t>
  </si>
  <si>
    <t>Menisone 4mg Tab</t>
  </si>
  <si>
    <t>MEN06E</t>
  </si>
  <si>
    <t>Menphencala Lotion 100ml</t>
  </si>
  <si>
    <t>MEP01S</t>
  </si>
  <si>
    <t>Meptin Liquid 5mcg/ml;60ml</t>
  </si>
  <si>
    <t>MEP02I</t>
  </si>
  <si>
    <t>Mepem 250mg Vial#</t>
  </si>
  <si>
    <t>MER02O</t>
  </si>
  <si>
    <t>Mero 100mg Cap</t>
  </si>
  <si>
    <t>MES01E</t>
  </si>
  <si>
    <t>Mesa Inhal Soln 600mg/3ml</t>
  </si>
  <si>
    <t>MES01O</t>
  </si>
  <si>
    <t>Mestinon 60mg Tab</t>
  </si>
  <si>
    <t>MES02O</t>
  </si>
  <si>
    <t>Mesyrel 50mg Tab</t>
  </si>
  <si>
    <t>MET02I</t>
  </si>
  <si>
    <t>Methycobal 500mcg/1ml Amp#</t>
  </si>
  <si>
    <t>MET05O</t>
  </si>
  <si>
    <t>Methotrexate 2.5mg Tab</t>
  </si>
  <si>
    <t>MET06O</t>
  </si>
  <si>
    <t>Methyldopa F.C. 250mg Tab</t>
  </si>
  <si>
    <t>MET07O</t>
  </si>
  <si>
    <t>MethyCOBAL(B12) 500mcg Cap#</t>
  </si>
  <si>
    <t>MET15I</t>
  </si>
  <si>
    <t>Methylergonovine 0.2mg/1ml Amp</t>
  </si>
  <si>
    <t>MET18O</t>
  </si>
  <si>
    <t>Metrozole 250mg Tab</t>
  </si>
  <si>
    <t>MET19O</t>
  </si>
  <si>
    <t>Methydur SR 22mg Cap #3</t>
  </si>
  <si>
    <t>MET20O</t>
  </si>
  <si>
    <t>METHYDUR SR 33MG CAP #3</t>
  </si>
  <si>
    <t>MEV05O</t>
  </si>
  <si>
    <t>Mevalotin 40mg Tab#</t>
  </si>
  <si>
    <t>MEZ01O</t>
  </si>
  <si>
    <t>Mezavant XL 1200mg Tab#</t>
  </si>
  <si>
    <t>MIA02I</t>
  </si>
  <si>
    <t>Miacalcic 50iu/1ml Amp#</t>
  </si>
  <si>
    <t>MID01I</t>
  </si>
  <si>
    <t>Midatin 5mg/1ml Amp #4</t>
  </si>
  <si>
    <t>MID01O</t>
  </si>
  <si>
    <t>Midorine 2.5mg Tab</t>
  </si>
  <si>
    <t>MID02I</t>
  </si>
  <si>
    <t>MIDATIN 15MG/3ML AMP #4</t>
  </si>
  <si>
    <t>MIL02I</t>
  </si>
  <si>
    <t>Millisrol 5mg/10mL Amp</t>
  </si>
  <si>
    <t>MIN06I</t>
  </si>
  <si>
    <t>Minirin 4mcg/1ml Amp</t>
  </si>
  <si>
    <t>MIN08O</t>
  </si>
  <si>
    <t>MINIRIN MELT 60MCG TAB#</t>
  </si>
  <si>
    <t>MIR01I</t>
  </si>
  <si>
    <t>Mircera 0.05mg/0.3ml Syringe#</t>
  </si>
  <si>
    <t>MIR03E</t>
  </si>
  <si>
    <t>Mirena Intrauterine System</t>
  </si>
  <si>
    <t>MIR03I</t>
  </si>
  <si>
    <t>MIRCERA 0.1mg/0.3ml Syringe#</t>
  </si>
  <si>
    <t>MIR03O</t>
  </si>
  <si>
    <t>Mirobect 50mg Tab</t>
  </si>
  <si>
    <t>MIR04O</t>
  </si>
  <si>
    <t>Mirapex PR 0.375mg Tab</t>
  </si>
  <si>
    <t>MIR05O</t>
  </si>
  <si>
    <t>MIRAPEX PR 1.5MG TAB</t>
  </si>
  <si>
    <t>MIY01O</t>
  </si>
  <si>
    <t>Miyarisan BM 1gm pack</t>
  </si>
  <si>
    <t>MIY02O</t>
  </si>
  <si>
    <t>Miyaphargen FC Tab</t>
  </si>
  <si>
    <t>MMR02I</t>
  </si>
  <si>
    <t>MMR II (公費) Vaccine</t>
  </si>
  <si>
    <t>MMR04I</t>
  </si>
  <si>
    <t>MMR II (自費) Vaccine</t>
  </si>
  <si>
    <t>MMR06I</t>
  </si>
  <si>
    <t>MMR (自費) Vaccine LiveAtd SII</t>
  </si>
  <si>
    <t>MOC01O</t>
  </si>
  <si>
    <t>Mocalm 0.5/10mg Tab</t>
  </si>
  <si>
    <t>MOD02O</t>
  </si>
  <si>
    <t>Modipanol F.C 1mg Tab #3</t>
  </si>
  <si>
    <t>MON04O</t>
  </si>
  <si>
    <t>Monurol Granular Powder#</t>
  </si>
  <si>
    <t>MOP01O</t>
  </si>
  <si>
    <t>Mopride 5mg Tab</t>
  </si>
  <si>
    <t>MOR01I</t>
  </si>
  <si>
    <t>Morphine 10mg/1ml Amp #1</t>
  </si>
  <si>
    <t>MOR06O</t>
  </si>
  <si>
    <t>Morphine Sulphate 15mg Tab #1</t>
  </si>
  <si>
    <t>MOU01I</t>
  </si>
  <si>
    <t>Mounjaro 2.5mg/0.6mL/dose KwikPen</t>
  </si>
  <si>
    <t>MOU02I</t>
  </si>
  <si>
    <t>Mounjaro 5mg/0.6mL/dose KwikPen</t>
  </si>
  <si>
    <t>MOU03I</t>
  </si>
  <si>
    <t>Mounjaro 7.5mg/0.6mL/dose KwikPen</t>
  </si>
  <si>
    <t>MOU04I</t>
  </si>
  <si>
    <t>MOUNJARO 10MG/0.6ML/DOSE KwikPen</t>
  </si>
  <si>
    <t>MOU05I</t>
  </si>
  <si>
    <t>MOUNJARO 12.5MG/0.6ML/DOSE KwikPen</t>
  </si>
  <si>
    <t>MUA01O</t>
  </si>
  <si>
    <t>Muaction SR 100mg Tab #4</t>
  </si>
  <si>
    <t>MUL01O</t>
  </si>
  <si>
    <t>Multaq 400mg FC Tab#</t>
  </si>
  <si>
    <t>MVC01I</t>
  </si>
  <si>
    <t>MVC Fluvacgen (公費) 0.5mL Syringe</t>
  </si>
  <si>
    <t>MYC01I</t>
  </si>
  <si>
    <t>Mycamine 50mg Vial#</t>
  </si>
  <si>
    <t>MYC02O</t>
  </si>
  <si>
    <t>Mycobutin 150mg Cap</t>
  </si>
  <si>
    <t>MYC03E</t>
  </si>
  <si>
    <t>My Comb Cream 6gm</t>
  </si>
  <si>
    <t>MYC04O</t>
  </si>
  <si>
    <t>Mycros 0.5mg Tab</t>
  </si>
  <si>
    <t>MYC05O</t>
  </si>
  <si>
    <t>Mycocep 250mg Cap</t>
  </si>
  <si>
    <t>MYF01O</t>
  </si>
  <si>
    <t>Myfortic 180mg Tab#</t>
  </si>
  <si>
    <t>NAL01I</t>
  </si>
  <si>
    <t>Naloxone 0.4mg/1ml Amp</t>
  </si>
  <si>
    <t>NAL02I</t>
  </si>
  <si>
    <t>Naldebain ER 150mg/2ml Vial</t>
  </si>
  <si>
    <t>NAP04O</t>
  </si>
  <si>
    <t>Naposin 250mg Tab</t>
  </si>
  <si>
    <t>NAT01E</t>
  </si>
  <si>
    <t>Natesto Nasal Gel 5.5mg/d;60d</t>
  </si>
  <si>
    <t>NAT03O</t>
  </si>
  <si>
    <t>Natrilix SR 1.5mg Tab</t>
  </si>
  <si>
    <t>NAV04O</t>
  </si>
  <si>
    <t>Navelbine 20mg Soft Cap#</t>
  </si>
  <si>
    <t>NAV05O</t>
  </si>
  <si>
    <t>NAVELBINE 30mg Soft Cap#</t>
  </si>
  <si>
    <t>NEB01I</t>
  </si>
  <si>
    <t>Nebido 1000mg/4ml</t>
  </si>
  <si>
    <t>NEB01O</t>
  </si>
  <si>
    <t>Nebilet 5mg Tab</t>
  </si>
  <si>
    <t>NEO01E</t>
  </si>
  <si>
    <t>Neomycin Oint 0.5%;28gm</t>
  </si>
  <si>
    <t>NEO02E</t>
  </si>
  <si>
    <t>Neostigmin Eye Drop 0.01%;10ml</t>
  </si>
  <si>
    <t>NEO02O</t>
  </si>
  <si>
    <t>Neomycin 250mg Cap</t>
  </si>
  <si>
    <t>NEO04E</t>
  </si>
  <si>
    <t>NEO 100 4g Bot</t>
  </si>
  <si>
    <t>NEO05O</t>
  </si>
  <si>
    <t>Neoral 25mg Cap#</t>
  </si>
  <si>
    <t>NEO05S</t>
  </si>
  <si>
    <t>Neoral Solution 100mg/ml;50ml#</t>
  </si>
  <si>
    <t>NEO06O</t>
  </si>
  <si>
    <t>Neoral 100mg Cap#</t>
  </si>
  <si>
    <t>NEP01I</t>
  </si>
  <si>
    <t>Nephrosteril 7% 250ml</t>
  </si>
  <si>
    <t>NER01O</t>
  </si>
  <si>
    <t>Nerlynx 40mg Tab</t>
  </si>
  <si>
    <t>NES02I</t>
  </si>
  <si>
    <t>NESP Inj Plastic 20mcg/0.5ml Syringe#</t>
  </si>
  <si>
    <t>NEU01E</t>
  </si>
  <si>
    <t>Neupro Transdermal 4mg/24h/Patch#</t>
  </si>
  <si>
    <t>NEU01O</t>
  </si>
  <si>
    <t>Neuquinon 10mg Tab</t>
  </si>
  <si>
    <t>NEU02E</t>
  </si>
  <si>
    <t>NEUPRO Transdermal 6mg/24h/Patch#</t>
  </si>
  <si>
    <t>NEU03O</t>
  </si>
  <si>
    <t>Neurontin 100mg Cap#</t>
  </si>
  <si>
    <t>NEU04O</t>
  </si>
  <si>
    <t>NEURONTIN 300mg Cap</t>
  </si>
  <si>
    <t>NEX01O</t>
  </si>
  <si>
    <t>Nexium 40mg Tab#</t>
  </si>
  <si>
    <t>NEX02O</t>
  </si>
  <si>
    <t>Nexavar 200mg Tab#</t>
  </si>
  <si>
    <t>NIC01E</t>
  </si>
  <si>
    <t>Nicorette QuickMist 1mg Spray; 150 Dose</t>
  </si>
  <si>
    <t>NIC04O</t>
  </si>
  <si>
    <t>Nicorette 2mg Chewing Gum</t>
  </si>
  <si>
    <t>NIC05O</t>
  </si>
  <si>
    <t>NICORETTE 4MG CHEWING GUM</t>
  </si>
  <si>
    <t>NIF01O</t>
  </si>
  <si>
    <t>Nifedipine SRFC 30mg Tab</t>
  </si>
  <si>
    <t>NIG01O</t>
  </si>
  <si>
    <t>Nigoline 10mg Tab</t>
  </si>
  <si>
    <t>NIL02O</t>
  </si>
  <si>
    <t>Nilasen 24mg Tab</t>
  </si>
  <si>
    <t>NIM01I</t>
  </si>
  <si>
    <t>Nimotop 0.02%/50ml Vial#</t>
  </si>
  <si>
    <t>NIM01O</t>
  </si>
  <si>
    <t>Nimotop 30mg Tab</t>
  </si>
  <si>
    <t>NIM03I</t>
  </si>
  <si>
    <t>Nimbex 10mg/5ml Amp</t>
  </si>
  <si>
    <t>NIN01O</t>
  </si>
  <si>
    <t>Ninlaro 3mg Cap</t>
  </si>
  <si>
    <t>NIN02E</t>
  </si>
  <si>
    <t>Nincort Oral Gel 6gm Tube</t>
  </si>
  <si>
    <t>NIN02O</t>
  </si>
  <si>
    <t>NINLARO 4MG CAP</t>
  </si>
  <si>
    <t>NIV01I</t>
  </si>
  <si>
    <t>Nivestim 300mcg/0.5ml Syringe</t>
  </si>
  <si>
    <t>NOL01O</t>
  </si>
  <si>
    <t>Nolvadex 10mg Tab#</t>
  </si>
  <si>
    <t>NOO02I</t>
  </si>
  <si>
    <t>Noopol 1gm/5ml Amp#</t>
  </si>
  <si>
    <t>NOR01I</t>
  </si>
  <si>
    <t>Norepinephrine 4mg/4ml Amp</t>
  </si>
  <si>
    <t>NOR01O</t>
  </si>
  <si>
    <t>Norina 5mg Tab</t>
  </si>
  <si>
    <t>NOR04I</t>
  </si>
  <si>
    <t>Normal Saline 20ml</t>
  </si>
  <si>
    <t>NOR07O</t>
  </si>
  <si>
    <t>Norvasc 5mg Tab</t>
  </si>
  <si>
    <t>NOR26I</t>
  </si>
  <si>
    <t>Isotonic NaCl 500ml 塑膠瓶</t>
  </si>
  <si>
    <t>NOR28E</t>
  </si>
  <si>
    <t>N.S. Irrigation 500ml 塑膠瓶</t>
  </si>
  <si>
    <t>NOR29E</t>
  </si>
  <si>
    <t>N.S. Irrigation 1000ml 塑膠瓶</t>
  </si>
  <si>
    <t>NOT02O</t>
  </si>
  <si>
    <t>Notholic FC 50mg Tab</t>
  </si>
  <si>
    <t>NOV01I</t>
  </si>
  <si>
    <t>Novamin 5mg/1ml Amp</t>
  </si>
  <si>
    <t>NOV04I</t>
  </si>
  <si>
    <t>NovoRapid Penfill 300iu/3ml</t>
  </si>
  <si>
    <t>NOV07I</t>
  </si>
  <si>
    <t>NovoRapid FLEXPEN 300iu/3ml#</t>
  </si>
  <si>
    <t>NOV08I</t>
  </si>
  <si>
    <t>NovoMix 30 FlexPen 300iu/3ml#</t>
  </si>
  <si>
    <t>NTG01O</t>
  </si>
  <si>
    <t>NTG (Nitrostat) 0.6mg Tab</t>
  </si>
  <si>
    <t>NUB01O</t>
  </si>
  <si>
    <t>Nubeqa 300mg Tab</t>
  </si>
  <si>
    <t>NUC02I</t>
  </si>
  <si>
    <t>Nucala 100mg/1ml Pen</t>
  </si>
  <si>
    <t>NUR01O</t>
  </si>
  <si>
    <t>Nurtec OD 75mg Tab</t>
  </si>
  <si>
    <t>NUS01O</t>
  </si>
  <si>
    <t>Nuspas 0.125mg Tab</t>
  </si>
  <si>
    <t>NYS01O</t>
  </si>
  <si>
    <t>Nystatin 500000u Cap</t>
  </si>
  <si>
    <t>OFE01O</t>
  </si>
  <si>
    <t>Ofev Soft 150mg Cap#</t>
  </si>
  <si>
    <t>OLA01O</t>
  </si>
  <si>
    <t>Olan OD 5mg Tab</t>
  </si>
  <si>
    <t>OLM03O</t>
  </si>
  <si>
    <t>Olmetec FC 40mg Tab</t>
  </si>
  <si>
    <t>OLU01O</t>
  </si>
  <si>
    <t>Olumiant 4mg Tab</t>
  </si>
  <si>
    <t>ONC01I</t>
  </si>
  <si>
    <t>OncoTICE(2-8x10^8 CFU) Vial (BCG)</t>
  </si>
  <si>
    <t>ONG01O</t>
  </si>
  <si>
    <t>ONGLYZA FC 5MG TAB#</t>
  </si>
  <si>
    <t>ONG03O</t>
  </si>
  <si>
    <t>Ongentys 50mg Cap</t>
  </si>
  <si>
    <t>OPI02E</t>
  </si>
  <si>
    <t>Opiodur Patch 25mcg/h #2</t>
  </si>
  <si>
    <t>OPS01O</t>
  </si>
  <si>
    <t>Opsumit 10mg Tab#</t>
  </si>
  <si>
    <t>OPT01E</t>
  </si>
  <si>
    <t>Optive Fusion Eye Drops 30amp/Box</t>
  </si>
  <si>
    <t>OPT02E</t>
  </si>
  <si>
    <t>Optive Advanced Eye Drops 30Amp/Box</t>
  </si>
  <si>
    <t>ORA02O</t>
  </si>
  <si>
    <t>Oraphine 60mg Cap</t>
  </si>
  <si>
    <t>ORE01I</t>
  </si>
  <si>
    <t>ORENCIA IV Inj 250MG#</t>
  </si>
  <si>
    <t>ORE02I</t>
  </si>
  <si>
    <t>Orencia SC Inj 125mg Syringe</t>
  </si>
  <si>
    <t>OTO01E</t>
  </si>
  <si>
    <t>Otozambon Ear Drops 8ml Bot</t>
  </si>
  <si>
    <t>OXA03I</t>
  </si>
  <si>
    <t>Oxacillin Powder for Injection 1gm Vial</t>
  </si>
  <si>
    <t>OXB01O</t>
  </si>
  <si>
    <t>Oxbu ER 5mg Tab#</t>
  </si>
  <si>
    <t>OXY01I</t>
  </si>
  <si>
    <t>Oxytocin 10iu/1ml Amp</t>
  </si>
  <si>
    <t>OXY01O</t>
  </si>
  <si>
    <t>OxyNorm IR 5mg Cap #2</t>
  </si>
  <si>
    <t>OXY02O</t>
  </si>
  <si>
    <t>Oxycontin CR 10mg Tab#2</t>
  </si>
  <si>
    <t>OXY03O</t>
  </si>
  <si>
    <t>OXYCONTIN CR 20MG TAB#2</t>
  </si>
  <si>
    <t>OXY04O</t>
  </si>
  <si>
    <t>Oxycodone IR 5mg Cap PPCD #2</t>
  </si>
  <si>
    <t>OZE01I</t>
  </si>
  <si>
    <t>Ozempic 2mg/1.5ml Pen</t>
  </si>
  <si>
    <t>OZE02I</t>
  </si>
  <si>
    <t>OZEMPIC 4MG/3ML PEN#</t>
  </si>
  <si>
    <t>OZU01I</t>
  </si>
  <si>
    <t>Ozurdex Intravitreal Implant 0.7mg</t>
  </si>
  <si>
    <t>OZU02I</t>
  </si>
  <si>
    <t>Ozurdex(恩慈) Intravitreal Implant 0.7mg</t>
  </si>
  <si>
    <t>PAI02O</t>
  </si>
  <si>
    <t>Painkyl 200 mcg #2</t>
  </si>
  <si>
    <t>PAN01O</t>
  </si>
  <si>
    <t>Pantoloc 40mg Tab#</t>
  </si>
  <si>
    <t>PAN02I</t>
  </si>
  <si>
    <t>Pantoloc I.V. 40mg Vial</t>
  </si>
  <si>
    <t>PAR08E</t>
  </si>
  <si>
    <t>Parmason Gargle Solution</t>
  </si>
  <si>
    <t>PAR08O</t>
  </si>
  <si>
    <t>Pariet 20mg Tab#</t>
  </si>
  <si>
    <t>PAR09O</t>
  </si>
  <si>
    <t>Parotin FC 75mg Tab</t>
  </si>
  <si>
    <t>PAT02I</t>
  </si>
  <si>
    <t>Patent Blue V (專科) 50mg/2mL Amp</t>
  </si>
  <si>
    <t>PAX01O</t>
  </si>
  <si>
    <t>Paxlovid 150/100mg Tab/Set (公費)</t>
  </si>
  <si>
    <t>PAX03O</t>
  </si>
  <si>
    <t>Paxlovid 150/100mg Box (自費)</t>
  </si>
  <si>
    <t>PEN01O</t>
  </si>
  <si>
    <t>Pentop S.R 400mg Tab#</t>
  </si>
  <si>
    <t>PEN02O</t>
  </si>
  <si>
    <t>Pentasa Sachet 2g Pack</t>
  </si>
  <si>
    <t>PEN03O</t>
  </si>
  <si>
    <t>Pentixol FC 3mg Tab</t>
  </si>
  <si>
    <t>PEN05I</t>
  </si>
  <si>
    <t>Penicillin G 3000000U Vial</t>
  </si>
  <si>
    <t>PEN11I</t>
  </si>
  <si>
    <t>Penem 500/500mg Vial</t>
  </si>
  <si>
    <t>PER04E</t>
  </si>
  <si>
    <t>Permethrin Cream 5% 60g Tube SounLin</t>
  </si>
  <si>
    <t>PER05I</t>
  </si>
  <si>
    <t>Perdipine 10mg/10ml Amp</t>
  </si>
  <si>
    <t>PEY01I</t>
  </si>
  <si>
    <t>Peyona 20mg/1mL Amp</t>
  </si>
  <si>
    <t>PG201I</t>
  </si>
  <si>
    <t>PG2 Inj 500mg Vial</t>
  </si>
  <si>
    <t>PHE01I</t>
  </si>
  <si>
    <t>Phenobital 100mg/1ml Amp#4</t>
  </si>
  <si>
    <t>PHE01O</t>
  </si>
  <si>
    <t>Phenobarbital 30mg Tab (Johnson)#4</t>
  </si>
  <si>
    <t>PHE03E</t>
  </si>
  <si>
    <t>Phenylephrine Eye Drops 10% 5ml</t>
  </si>
  <si>
    <t>PHI01E</t>
  </si>
  <si>
    <t>Phisohex 0.5% 500ml Bot</t>
  </si>
  <si>
    <t>PHY01I</t>
  </si>
  <si>
    <t>Phytonadione(Vit K1) 10mg/1ml Amp</t>
  </si>
  <si>
    <t>PIC03O</t>
  </si>
  <si>
    <t>Picetam 400mg Cap#</t>
  </si>
  <si>
    <t>PIL04O</t>
  </si>
  <si>
    <t>Pilian 4mg Tab</t>
  </si>
  <si>
    <t>PIL06E</t>
  </si>
  <si>
    <t>Pilocarpine Oph Soln 2% 15mL Bot Wufu</t>
  </si>
  <si>
    <t>PIN01O</t>
  </si>
  <si>
    <t>Pinsaun 25mg Tab</t>
  </si>
  <si>
    <t>PIQ03O</t>
  </si>
  <si>
    <t>Piqray 150mg FC Tab</t>
  </si>
  <si>
    <t>PIR01O</t>
  </si>
  <si>
    <t>Pirespa 200mg Tab</t>
  </si>
  <si>
    <t>PIR01S</t>
  </si>
  <si>
    <t>Piracetam Soln 200mg/mL; 200mL Bot Cent</t>
  </si>
  <si>
    <t>PIT02I</t>
  </si>
  <si>
    <t>Pitressin 20u/1ml Amp</t>
  </si>
  <si>
    <t>PLA02O</t>
  </si>
  <si>
    <t>Plaquenil 200mg Tab</t>
  </si>
  <si>
    <t>PLA03O</t>
  </si>
  <si>
    <t>Plavix 75mg Tab#</t>
  </si>
  <si>
    <t>PLE02E</t>
  </si>
  <si>
    <t>Plegisol Solution 1000ml</t>
  </si>
  <si>
    <t>PLE02O</t>
  </si>
  <si>
    <t>Pletaal 100MG TAB#</t>
  </si>
  <si>
    <t>PLE03I</t>
  </si>
  <si>
    <t>PLEGRIDY 125MCG/0.5ML PEN</t>
  </si>
  <si>
    <t>PMS01O</t>
  </si>
  <si>
    <t>Pms-Desmopressin 0.1mg Tab</t>
  </si>
  <si>
    <t>PNE03I</t>
  </si>
  <si>
    <t>Pneumovax 23 (中央公費) 0.5mL Syringe</t>
  </si>
  <si>
    <t>PNE04I</t>
  </si>
  <si>
    <t>Pneumovax 23 (北市公費) 0.5mL Syringe</t>
  </si>
  <si>
    <t>PNE05I</t>
  </si>
  <si>
    <t>Pneumovax 23 (自費) 0.5mL Syringe</t>
  </si>
  <si>
    <t>POM01O</t>
  </si>
  <si>
    <t>Pomalyst 3mg Cap#</t>
  </si>
  <si>
    <t>POM02O</t>
  </si>
  <si>
    <t>POMALYST 4mg Cap</t>
  </si>
  <si>
    <t>POS04E</t>
  </si>
  <si>
    <t>Posuline 100/2.5mg Supp</t>
  </si>
  <si>
    <t>POS04O</t>
  </si>
  <si>
    <t>Posanol 100mg Tab</t>
  </si>
  <si>
    <t>POT01I</t>
  </si>
  <si>
    <t>Pot Chloride 15%;40meq/20ml Amp</t>
  </si>
  <si>
    <t>PRA01O</t>
  </si>
  <si>
    <t>Pradaxa 110 mg Cap#</t>
  </si>
  <si>
    <t>PRA02O</t>
  </si>
  <si>
    <t>PRADAXA 150 mg Cap#</t>
  </si>
  <si>
    <t>PRA03I</t>
  </si>
  <si>
    <t>Praluent 75mg/mL Pen</t>
  </si>
  <si>
    <t>PRA04I</t>
  </si>
  <si>
    <t>Praxbind 2.5g/50ml 2vial/Box</t>
  </si>
  <si>
    <t>PRE01I</t>
  </si>
  <si>
    <t>Precedex 200mcg/2ml Vial#</t>
  </si>
  <si>
    <t>PRE02E</t>
  </si>
  <si>
    <t>Premarin Vag Cream 14gm Tube</t>
  </si>
  <si>
    <t>PRE02I</t>
  </si>
  <si>
    <t>Prevenar 13 (自費) Conj Vaccine</t>
  </si>
  <si>
    <t>PRE05E</t>
  </si>
  <si>
    <t>Pred Forte Oph Susp 1% 5ml</t>
  </si>
  <si>
    <t>PRE07I</t>
  </si>
  <si>
    <t>Prevenar 13 (兒童公費) Conj Vaccine</t>
  </si>
  <si>
    <t>PRE10I</t>
  </si>
  <si>
    <t>Prevenar 13 (長者公費) Conj Vaccine</t>
  </si>
  <si>
    <t>PRE20I</t>
  </si>
  <si>
    <t>PREVENAR 20 (自費) CONJ VACC</t>
  </si>
  <si>
    <t>PRI02O</t>
  </si>
  <si>
    <t>Priligy FC 30mg Tab</t>
  </si>
  <si>
    <t>PRI03I</t>
  </si>
  <si>
    <t>Prismasol B0 Solution 5L</t>
  </si>
  <si>
    <t>PRI04I</t>
  </si>
  <si>
    <t>Primacor 10mg/10ml Amp</t>
  </si>
  <si>
    <t>PRI05I</t>
  </si>
  <si>
    <t>Privigen TW 5gm/50mL Bot</t>
  </si>
  <si>
    <t>PRI06I</t>
  </si>
  <si>
    <t>Priorix 0.5ml Vial (公費)</t>
  </si>
  <si>
    <t>PRO01I</t>
  </si>
  <si>
    <t>Prolia inj 60mg/1ml Syri#</t>
  </si>
  <si>
    <t>PRO02E</t>
  </si>
  <si>
    <t>Proparacaine Oph 5mg/ml 15ml Bot</t>
  </si>
  <si>
    <t>PRO02I</t>
  </si>
  <si>
    <t>Promeran 10mg/2ml Amp</t>
  </si>
  <si>
    <t>PRO05I</t>
  </si>
  <si>
    <t>Protamine 50mg/5ml Amp</t>
  </si>
  <si>
    <t>PRO09I</t>
  </si>
  <si>
    <t>PROGESTERONE 25mg/1ml (ASTAR)</t>
  </si>
  <si>
    <t>PRO10O</t>
  </si>
  <si>
    <t>Procil 50mg Tab</t>
  </si>
  <si>
    <t>PRO11O</t>
  </si>
  <si>
    <t>Provera 10mg Tab</t>
  </si>
  <si>
    <t>PRO12I</t>
  </si>
  <si>
    <t>Progeston Depot 125mg/1ml Amp</t>
  </si>
  <si>
    <t>PRO14I</t>
  </si>
  <si>
    <t>Promostan 20mcg Vial</t>
  </si>
  <si>
    <t>PRO15O</t>
  </si>
  <si>
    <t>Procal 667mg Tab#</t>
  </si>
  <si>
    <t>PRO17O</t>
  </si>
  <si>
    <t>Prograf (Fk506) 1mg Cap</t>
  </si>
  <si>
    <t>PRO18O</t>
  </si>
  <si>
    <t>PROGRAF (Fk506) 5mg Cap</t>
  </si>
  <si>
    <t>PRO19E</t>
  </si>
  <si>
    <t>Prostin E2 3mg Vag Tab</t>
  </si>
  <si>
    <t>PRO20O</t>
  </si>
  <si>
    <t>Propranolol 10mg Tab</t>
  </si>
  <si>
    <t>PRO21O</t>
  </si>
  <si>
    <t>Propecia F.C. Tab. 1mg</t>
  </si>
  <si>
    <t>PRO22I</t>
  </si>
  <si>
    <t>Isoproternol 0.2mg/1ml Amp</t>
  </si>
  <si>
    <t>PRO25O</t>
  </si>
  <si>
    <t>Progor 180mg Cap</t>
  </si>
  <si>
    <t>PRO27E</t>
  </si>
  <si>
    <t>Protopic Oint 0.03% 10gm Tube</t>
  </si>
  <si>
    <t>PRO28O</t>
  </si>
  <si>
    <t>Prograf (Fk506) 0.5mg Cap</t>
  </si>
  <si>
    <t>PRO29I</t>
  </si>
  <si>
    <t>Prograf 5mg/1ml Amp</t>
  </si>
  <si>
    <t>PRO29O</t>
  </si>
  <si>
    <t>Protase 280mg Cap</t>
  </si>
  <si>
    <t>PRO30O</t>
  </si>
  <si>
    <t>Provigil 200mg Tab #4</t>
  </si>
  <si>
    <t>PRO31O</t>
  </si>
  <si>
    <t>Promeran FC 3.84mg Tab</t>
  </si>
  <si>
    <t>PUL03E</t>
  </si>
  <si>
    <t>Pulmicort Respules Neb Susp 1mg/2ml</t>
  </si>
  <si>
    <t>PYR04I</t>
  </si>
  <si>
    <t>Pyridoxal Phosphate 10mg/2ml Amp Taiyu</t>
  </si>
  <si>
    <t>PYR05O</t>
  </si>
  <si>
    <t>Pyrazinamide 500mg Tab</t>
  </si>
  <si>
    <t>QTE01O</t>
  </si>
  <si>
    <t>Qtern 5/10mg Tab#</t>
  </si>
  <si>
    <t>QTI01S</t>
  </si>
  <si>
    <t>Qting Oral Soln 25mg/ml;120ml Bot</t>
  </si>
  <si>
    <t>QUI05O</t>
  </si>
  <si>
    <t>Quinidine 200mg Tab</t>
  </si>
  <si>
    <t>RAK01O</t>
  </si>
  <si>
    <t>Rakinson 1mg Tab</t>
  </si>
  <si>
    <t>RAN02O</t>
  </si>
  <si>
    <t>Rancad ER 500mg Tab</t>
  </si>
  <si>
    <t>RAP01O</t>
  </si>
  <si>
    <t>Rapamune 1mg Tab</t>
  </si>
  <si>
    <t>RAP04I</t>
  </si>
  <si>
    <t>Rapiacta 300mg (自費)Bag</t>
  </si>
  <si>
    <t>RAS01O</t>
  </si>
  <si>
    <t>Rasitol 40mg Tab</t>
  </si>
  <si>
    <t>REB01I</t>
  </si>
  <si>
    <t>Rebif 44mcg Syringe#</t>
  </si>
  <si>
    <t>REB02I</t>
  </si>
  <si>
    <t>Rebif 132 mcg</t>
  </si>
  <si>
    <t>REC03I</t>
  </si>
  <si>
    <t>Recormon 2000iu Syringe#</t>
  </si>
  <si>
    <t>REL02I</t>
  </si>
  <si>
    <t>Relaxin 500mg/25ml Vial</t>
  </si>
  <si>
    <t>REL02O</t>
  </si>
  <si>
    <t>Relazide Tab</t>
  </si>
  <si>
    <t>REL03E</t>
  </si>
  <si>
    <t>Relvar Ellipta 92/22mcg (Inhalation)</t>
  </si>
  <si>
    <t>REL03O</t>
  </si>
  <si>
    <t>Relinide 1mg Tab#</t>
  </si>
  <si>
    <t>REL04E</t>
  </si>
  <si>
    <t>RELVAR ELLIPTA 184/22MCG (Inhalation)</t>
  </si>
  <si>
    <t>REM01S</t>
  </si>
  <si>
    <t>Remaltin Oral Soln 50mg/ml; 240ml/Bot</t>
  </si>
  <si>
    <t>REM02I</t>
  </si>
  <si>
    <t>Remdesivir (Veklury) 100mg Vial (公費)</t>
  </si>
  <si>
    <t>REM03I</t>
  </si>
  <si>
    <t>Remsima 100mg Vial</t>
  </si>
  <si>
    <t>REM04I</t>
  </si>
  <si>
    <t>Remifentanil inj 2mg Vial #2</t>
  </si>
  <si>
    <t>REP01I</t>
  </si>
  <si>
    <t>Repatha 140mg/1mL Pen</t>
  </si>
  <si>
    <t>REP02I</t>
  </si>
  <si>
    <t>Repatha (恩慈) 140mg/1mL Pen</t>
  </si>
  <si>
    <t>REQ02O</t>
  </si>
  <si>
    <t>REQUIP PD 2MG Tab</t>
  </si>
  <si>
    <t>REQ03O</t>
  </si>
  <si>
    <t>Requip FC 0.25mg Tab</t>
  </si>
  <si>
    <t>RES01E</t>
  </si>
  <si>
    <t>Restasis Oph Emul 0.05% 30amp/Box</t>
  </si>
  <si>
    <t>REV02O</t>
  </si>
  <si>
    <t>Revatio 20mg Tab#</t>
  </si>
  <si>
    <t>REV03O</t>
  </si>
  <si>
    <t>Revlimid 5mg Cap#</t>
  </si>
  <si>
    <t>REV04O</t>
  </si>
  <si>
    <t>REVLIMID 25mg Cap#</t>
  </si>
  <si>
    <t>REV05O</t>
  </si>
  <si>
    <t>Revlimid 10mg Cap#</t>
  </si>
  <si>
    <t>REV06O</t>
  </si>
  <si>
    <t>Revolade FC 25mg Tab</t>
  </si>
  <si>
    <t>REV07O</t>
  </si>
  <si>
    <t>REVLIMID 15MG CAP</t>
  </si>
  <si>
    <t>REX01O</t>
  </si>
  <si>
    <t>Rexulti 2mg Tab</t>
  </si>
  <si>
    <t>RHE01I</t>
  </si>
  <si>
    <t>Rheomacrodex 10% 500ml Bag</t>
  </si>
  <si>
    <t>RHO01I</t>
  </si>
  <si>
    <t>Rho(D) Immune Globulin(HyperRHO S/D) 1ml</t>
  </si>
  <si>
    <t>RHY01O</t>
  </si>
  <si>
    <t>Rhynorm 150mg Tab</t>
  </si>
  <si>
    <t>RIB03O</t>
  </si>
  <si>
    <t>Ribarin 200mg Cap#</t>
  </si>
  <si>
    <t>RIF08O</t>
  </si>
  <si>
    <t>RIFAMPICIN 300MG CAP#</t>
  </si>
  <si>
    <t>RIN01E</t>
  </si>
  <si>
    <t>Rinderon-V Cream 0.06% 5gm</t>
  </si>
  <si>
    <t>RIN02E</t>
  </si>
  <si>
    <t>Rinderon-A Eye Sol 0.1% 5ml</t>
  </si>
  <si>
    <t>RIN03O</t>
  </si>
  <si>
    <t>Rinvoq ER 15mg Tab#</t>
  </si>
  <si>
    <t>RIN04O</t>
  </si>
  <si>
    <t>RINVOQ ER 45MG TAB#</t>
  </si>
  <si>
    <t>RIN12I</t>
  </si>
  <si>
    <t>Ringer Injection 500ml Bot</t>
  </si>
  <si>
    <t>RIN13I</t>
  </si>
  <si>
    <t>Rinderon 4mg/1ml Amp</t>
  </si>
  <si>
    <t>RIS02O</t>
  </si>
  <si>
    <t>RISPERDAL 2mg Tab</t>
  </si>
  <si>
    <t>RIT01O</t>
  </si>
  <si>
    <t>Ritalin 10mg Tab #3</t>
  </si>
  <si>
    <t>RIT02O</t>
  </si>
  <si>
    <t>RITALIN LA 20MG CAP #3</t>
  </si>
  <si>
    <t>RIV01S</t>
  </si>
  <si>
    <t>Rivast Oral Soln 240mg/120ml Bot</t>
  </si>
  <si>
    <t>RIV04O</t>
  </si>
  <si>
    <t>RIVOtril 0.5mg Tab #4</t>
  </si>
  <si>
    <t>RIV05O</t>
  </si>
  <si>
    <t>RIVOTRIL 2mg Tab #4</t>
  </si>
  <si>
    <t>RIZ01O</t>
  </si>
  <si>
    <t>Rizatan 5mg Tab</t>
  </si>
  <si>
    <t>ROA02O</t>
  </si>
  <si>
    <t>Roaccutane 20mg Cap#</t>
  </si>
  <si>
    <t>ROC01I</t>
  </si>
  <si>
    <t>Rocuronium Kabi 100mg/10ml Vial</t>
  </si>
  <si>
    <t>ROL01I</t>
  </si>
  <si>
    <t>Rolikan 7% 20ml Amp</t>
  </si>
  <si>
    <t>ROL02I</t>
  </si>
  <si>
    <t>ROLIKAN Inj 250ml Bot</t>
  </si>
  <si>
    <t>ROP01I</t>
  </si>
  <si>
    <t>Ropica Inj 200mg/20ml Vial</t>
  </si>
  <si>
    <t>ROS01I</t>
  </si>
  <si>
    <t>Rosis 20mg/2ml Amp</t>
  </si>
  <si>
    <t>ROT02S</t>
  </si>
  <si>
    <t>Rotarix 1.5mL Vial (自費口服藥)</t>
  </si>
  <si>
    <t>ROT03S</t>
  </si>
  <si>
    <t>RotaTeq 2ml Tube (自費口服藥)</t>
  </si>
  <si>
    <t>ROZ01O</t>
  </si>
  <si>
    <t>Rozerem 8mg Tab</t>
  </si>
  <si>
    <t>ROZ02O</t>
  </si>
  <si>
    <t>Rozlytrek 200mg Cap</t>
  </si>
  <si>
    <t>RSV01I</t>
  </si>
  <si>
    <t>RSV Abrysvo (自費) Vaccine Pfizer</t>
  </si>
  <si>
    <t>RYB01O</t>
  </si>
  <si>
    <t>Rybelsus 3mg Tab</t>
  </si>
  <si>
    <t>RYB02O</t>
  </si>
  <si>
    <t>RYBELSUS 7MG TAB</t>
  </si>
  <si>
    <t>RYB03O</t>
  </si>
  <si>
    <t>RYBELSUS 14MG TAB</t>
  </si>
  <si>
    <t>RYD01O</t>
  </si>
  <si>
    <t>Rydapt 25mg Soft Cap</t>
  </si>
  <si>
    <t>RYZ01I</t>
  </si>
  <si>
    <t>Ryzodeg Flextouch 300U/3ml#</t>
  </si>
  <si>
    <t>SAB01I</t>
  </si>
  <si>
    <t>SABS 500mg/100ml Bot</t>
  </si>
  <si>
    <t>SAI01I</t>
  </si>
  <si>
    <t>Saizen 12mg Cart</t>
  </si>
  <si>
    <t>SAI02I</t>
  </si>
  <si>
    <t>Saizen (恩慈) 12mg Cart</t>
  </si>
  <si>
    <t>SAL01I</t>
  </si>
  <si>
    <t>Saline Inj 0.9% 250ML (PP袋)</t>
  </si>
  <si>
    <t>SAL01O</t>
  </si>
  <si>
    <t>Salazine 500mg Tab</t>
  </si>
  <si>
    <t>SAL02I</t>
  </si>
  <si>
    <t>Saline Inj 0.9% 100ML (PP袋)</t>
  </si>
  <si>
    <t>SAL02O</t>
  </si>
  <si>
    <t>Saltolin 2mg Tab</t>
  </si>
  <si>
    <t>SAL03E</t>
  </si>
  <si>
    <t>Saldolin Inh Soln 5mg/2.5ml</t>
  </si>
  <si>
    <t>SAL03I</t>
  </si>
  <si>
    <t>Saline Inj 0.9% 500ML (PP袋)</t>
  </si>
  <si>
    <t>SAL04I</t>
  </si>
  <si>
    <t>Saline Inj 0.9% 1L (PP袋)</t>
  </si>
  <si>
    <t>SAL05I</t>
  </si>
  <si>
    <t>Saline Inj 0.45% 500ML (PP袋)</t>
  </si>
  <si>
    <t>SAL05O</t>
  </si>
  <si>
    <t>Salagen 5mg Tab#</t>
  </si>
  <si>
    <t>SAM01O</t>
  </si>
  <si>
    <t>Samsca 15mg Tab</t>
  </si>
  <si>
    <t>SAN01O</t>
  </si>
  <si>
    <t>Sanyl 50mg Tab#</t>
  </si>
  <si>
    <t>SAN04I</t>
  </si>
  <si>
    <t>Sandostatin 0.1mg/1ml Amp</t>
  </si>
  <si>
    <t>SAN05I</t>
  </si>
  <si>
    <t>Sandostatin LAR 20mg Vial#</t>
  </si>
  <si>
    <t>SCE01O</t>
  </si>
  <si>
    <t>Scemblix 40mg Tab</t>
  </si>
  <si>
    <t>SCR01S</t>
  </si>
  <si>
    <t>Scrat Suspension 10ml Pack</t>
  </si>
  <si>
    <t>SEC04S</t>
  </si>
  <si>
    <t>Secorine Syrup 120ml</t>
  </si>
  <si>
    <t>SER01S</t>
  </si>
  <si>
    <t>Seridol Oral Soln 30mg/30ml</t>
  </si>
  <si>
    <t>SER03O</t>
  </si>
  <si>
    <t>Seroquel 25mg Tab#</t>
  </si>
  <si>
    <t>SER05O</t>
  </si>
  <si>
    <t>SEROQUEL XR 200mg Tab#</t>
  </si>
  <si>
    <t>SER09E</t>
  </si>
  <si>
    <t>Seretide 50 Evohaler 120d</t>
  </si>
  <si>
    <t>SER09O</t>
  </si>
  <si>
    <t>Seroquel XR 50mg Tab#</t>
  </si>
  <si>
    <t>SER12E</t>
  </si>
  <si>
    <t>SERETIDE 250 EVOHALER 120D</t>
  </si>
  <si>
    <t>SET01O</t>
  </si>
  <si>
    <t>Setine 20mg Tab#</t>
  </si>
  <si>
    <t>SET02I</t>
  </si>
  <si>
    <t>Setron 3mg/3mL Amp</t>
  </si>
  <si>
    <t>SET02O</t>
  </si>
  <si>
    <t>Setron FC 2mg Tab</t>
  </si>
  <si>
    <t>SEV01I</t>
  </si>
  <si>
    <t>Sevatrim 5ml Amp#</t>
  </si>
  <si>
    <t>SEV01O</t>
  </si>
  <si>
    <t>Sevina 28tab/Piece</t>
  </si>
  <si>
    <t>SEV03O</t>
  </si>
  <si>
    <t>SEVIKAR 5/40mg Tab</t>
  </si>
  <si>
    <t>SHI02I</t>
  </si>
  <si>
    <t>SHINCORT 40mg/1ml Amp</t>
  </si>
  <si>
    <t>SHI03I</t>
  </si>
  <si>
    <t>Shingrix 0.5ml Vial</t>
  </si>
  <si>
    <t>SIG01O</t>
  </si>
  <si>
    <t>SIGMART 5mg Tab</t>
  </si>
  <si>
    <t>SIL03E</t>
  </si>
  <si>
    <t>Siliverzine Cream 1% 20Gm</t>
  </si>
  <si>
    <t>SIL05E</t>
  </si>
  <si>
    <t>Silver Nitrate 20% 25ml Bot</t>
  </si>
  <si>
    <t>SIL06E</t>
  </si>
  <si>
    <t>SILIVERZINE Cream 1% 500Gm</t>
  </si>
  <si>
    <t>SIL07O</t>
  </si>
  <si>
    <t>Silence 1mg Tab #4</t>
  </si>
  <si>
    <t>SIM01E</t>
  </si>
  <si>
    <t>Simbrinza Eye Drops Susp 5ml Bot</t>
  </si>
  <si>
    <t>SIM01I</t>
  </si>
  <si>
    <t>Simdax 12.5mg/5ml Vial</t>
  </si>
  <si>
    <t>SIM02I</t>
  </si>
  <si>
    <t>Simponi 50mg/0.5ml#</t>
  </si>
  <si>
    <t>SIN01E</t>
  </si>
  <si>
    <t>Sindecon Nasal Spray 5mg/10ml Bot</t>
  </si>
  <si>
    <t>SIN01I</t>
  </si>
  <si>
    <t>Sintrix 500mg Vial#</t>
  </si>
  <si>
    <t>SIN03E</t>
  </si>
  <si>
    <t>Sindine Oint 450gm Box</t>
  </si>
  <si>
    <t>SIN06E</t>
  </si>
  <si>
    <t>Sinomin Oph Solu 4% 15ml</t>
  </si>
  <si>
    <t>SIN10O</t>
  </si>
  <si>
    <t>Singulair 10mg Tab#</t>
  </si>
  <si>
    <t>SIN11E</t>
  </si>
  <si>
    <t>Sindine Soln 10% 200mL Bot</t>
  </si>
  <si>
    <t>SIN12E</t>
  </si>
  <si>
    <t>Sindine Soln 10% 500mL Bot</t>
  </si>
  <si>
    <t>SIN13E</t>
  </si>
  <si>
    <t>Sindine Alc 10% 200mL Bot</t>
  </si>
  <si>
    <t>SIN14E</t>
  </si>
  <si>
    <t>Sindine Alc 10% 500mL Bot</t>
  </si>
  <si>
    <t>SIN15E</t>
  </si>
  <si>
    <t>Sintropic Oph Soln 0.5% 5ml Bot</t>
  </si>
  <si>
    <t>SIN15O</t>
  </si>
  <si>
    <t>Singulair Chewable 4mg Tab#</t>
  </si>
  <si>
    <t>SIN16E</t>
  </si>
  <si>
    <t>Sindine Soln 10% 120mL Bot</t>
  </si>
  <si>
    <t>SIN16O</t>
  </si>
  <si>
    <t>Singulair 5mg Chewable Tab#</t>
  </si>
  <si>
    <t>SIN17E</t>
  </si>
  <si>
    <t>Sinpharderm Cream 100mg/g;30g</t>
  </si>
  <si>
    <t>SIN20O</t>
  </si>
  <si>
    <t>Sinmaron OD 30mg Tab</t>
  </si>
  <si>
    <t>SIR01O</t>
  </si>
  <si>
    <t>Sirdalud 2mg Tab</t>
  </si>
  <si>
    <t>SIV01I</t>
  </si>
  <si>
    <t>Sivkort Susp 10mg/1ml Amp</t>
  </si>
  <si>
    <t>SLA01O</t>
  </si>
  <si>
    <t>Slatone 25mg Tab</t>
  </si>
  <si>
    <t>SMA01O</t>
  </si>
  <si>
    <t>Smartgen 2mg Tab</t>
  </si>
  <si>
    <t>SME01O</t>
  </si>
  <si>
    <t>Smecta Powder For Oral Susp 3gm</t>
  </si>
  <si>
    <t>SMO01O</t>
  </si>
  <si>
    <t>Smokquit Mint 4mg Lozenges</t>
  </si>
  <si>
    <t>SMO02E</t>
  </si>
  <si>
    <t>Smokfree Tdds 10(20.8mg)</t>
  </si>
  <si>
    <t>SMO03E</t>
  </si>
  <si>
    <t>SMOKFREE TDDS 15(31.2mg)</t>
  </si>
  <si>
    <t>SMO04I</t>
  </si>
  <si>
    <t>SmofKabiven Emulsion 493ml Bag</t>
  </si>
  <si>
    <t>SMY01O</t>
  </si>
  <si>
    <t>Smyraf FC 50mg Tab</t>
  </si>
  <si>
    <t>SOD02I</t>
  </si>
  <si>
    <t>Sod. Chloride 0.45% 20ml Amp</t>
  </si>
  <si>
    <t>SOD05O</t>
  </si>
  <si>
    <t>Sodium Bicarbonate 600mg Tab</t>
  </si>
  <si>
    <t>SOD12I</t>
  </si>
  <si>
    <t>Sodium Chloride 3% 500ml</t>
  </si>
  <si>
    <t>SOD15I</t>
  </si>
  <si>
    <t>Sod. Chloride 0.9% 1.5L PVC袋</t>
  </si>
  <si>
    <t>SOL01O</t>
  </si>
  <si>
    <t>Solaxin 200mg Tab</t>
  </si>
  <si>
    <t>SOL02I</t>
  </si>
  <si>
    <t>Solu-Cortef 100mg Vial</t>
  </si>
  <si>
    <t>SOL03I</t>
  </si>
  <si>
    <t>SOLU-MEDROL 500mg Vial</t>
  </si>
  <si>
    <t>SOL04I</t>
  </si>
  <si>
    <t>Solu-Medrol 40mg Vial</t>
  </si>
  <si>
    <t>SOL06I</t>
  </si>
  <si>
    <t>Soliqua 300iu/150ug 3ml Pen</t>
  </si>
  <si>
    <t>SOL07I</t>
  </si>
  <si>
    <t>Soliris (恩慈) 300mg/30ml Vial</t>
  </si>
  <si>
    <t>SOL08O</t>
  </si>
  <si>
    <t>Solian 200mg Tab</t>
  </si>
  <si>
    <t>SOM01I</t>
  </si>
  <si>
    <t>Somatuline 120mg Syringe</t>
  </si>
  <si>
    <t>SOM01O</t>
  </si>
  <si>
    <t>Somn Well XR 2mg Tab</t>
  </si>
  <si>
    <t>SOR01S</t>
  </si>
  <si>
    <t>Sortuss Liquid 60mL Bot</t>
  </si>
  <si>
    <t>SPA05O</t>
  </si>
  <si>
    <t>Spastec FC 50mg Tab</t>
  </si>
  <si>
    <t>SPE01O</t>
  </si>
  <si>
    <t>Spedra 200mg Tab</t>
  </si>
  <si>
    <t>SPE02E</t>
  </si>
  <si>
    <t>Spersin Ointment 10Gm</t>
  </si>
  <si>
    <t>SPI04E</t>
  </si>
  <si>
    <t>Spiriva Respimat 2.5mcg (Inhalation)</t>
  </si>
  <si>
    <t>SPI05E</t>
  </si>
  <si>
    <t>Spiolto Respimat 2.5/2.5mcg (Inhalation)</t>
  </si>
  <si>
    <t>SPO01O</t>
  </si>
  <si>
    <t>Sporanox 100mg Cap#</t>
  </si>
  <si>
    <t>SPR01E</t>
  </si>
  <si>
    <t>Spravato Nasal Spray 28mg Bot #3</t>
  </si>
  <si>
    <t>SPR01O</t>
  </si>
  <si>
    <t>SPRYCEL F.C. TAB 50MG#</t>
  </si>
  <si>
    <t>STA01I</t>
  </si>
  <si>
    <t>Stazolin 1gm Vial</t>
  </si>
  <si>
    <t>STA05O</t>
  </si>
  <si>
    <t>Stable 25mg Tab</t>
  </si>
  <si>
    <t>STA06O</t>
  </si>
  <si>
    <t>Stalevo FC 100/25/200mg Tab</t>
  </si>
  <si>
    <t>STE03E</t>
  </si>
  <si>
    <t>Steridal Solution 0.5% 500ml Bot</t>
  </si>
  <si>
    <t>STI02O</t>
  </si>
  <si>
    <t>Stivarga FC 40mg Tab</t>
  </si>
  <si>
    <t>STI04O</t>
  </si>
  <si>
    <t>Stilnox 10mg Tab #4</t>
  </si>
  <si>
    <t>STR01E</t>
  </si>
  <si>
    <t>Striverdi Respimat 2.5mcg (Inhalation)</t>
  </si>
  <si>
    <t>STR01O</t>
  </si>
  <si>
    <t>Strocain Tab</t>
  </si>
  <si>
    <t>STR01S</t>
  </si>
  <si>
    <t>Strolin Liquid 0.5mg/ml;60ml Bot</t>
  </si>
  <si>
    <t>STR04O</t>
  </si>
  <si>
    <t>Stromectol 3mg Tab</t>
  </si>
  <si>
    <t>STR05I</t>
  </si>
  <si>
    <t>Stronger Neo Minophagen C Inj</t>
  </si>
  <si>
    <t>SUB01I</t>
  </si>
  <si>
    <t>Subacillin Inj 1.5gm Vial#</t>
  </si>
  <si>
    <t>SUL01O</t>
  </si>
  <si>
    <t>Sulmatyl FC 50mg Tab</t>
  </si>
  <si>
    <t>SUL01S</t>
  </si>
  <si>
    <t>Sulfacotrim Susp 60ml Bot#</t>
  </si>
  <si>
    <t>SUL04O</t>
  </si>
  <si>
    <t>Sulpin 200mg Tab</t>
  </si>
  <si>
    <t>SUN01I</t>
  </si>
  <si>
    <t>Suntose 5%+0.45% 500ml PP袋</t>
  </si>
  <si>
    <t>SUR01E</t>
  </si>
  <si>
    <t>Survanta Intratracheal Susp</t>
  </si>
  <si>
    <t>SUT01E</t>
  </si>
  <si>
    <t>Sutrol Vag Gel 0.75% 25gm Tube</t>
  </si>
  <si>
    <t>SUT01O</t>
  </si>
  <si>
    <t>Sutent 12.5mg Cap#</t>
  </si>
  <si>
    <t>SUW01O</t>
  </si>
  <si>
    <t>Suwell Tab</t>
  </si>
  <si>
    <t>SYL01I</t>
  </si>
  <si>
    <t>Sylvant 100mg Vial</t>
  </si>
  <si>
    <t>SYL02I</t>
  </si>
  <si>
    <t>Sylvant (恩慈) 100mg Vial</t>
  </si>
  <si>
    <t>SYM01E</t>
  </si>
  <si>
    <t>Symbicort Turbuhaler 160/4.5mcg 120d#</t>
  </si>
  <si>
    <t>SYM01O</t>
  </si>
  <si>
    <t>Symproic 0.2mg Tab</t>
  </si>
  <si>
    <t>SYM02E</t>
  </si>
  <si>
    <t>SYMBICORT RAPIHALER 160/4.5mcg</t>
  </si>
  <si>
    <t>SYN01O</t>
  </si>
  <si>
    <t>Synbot 20mg Tab</t>
  </si>
  <si>
    <t>SYN03I</t>
  </si>
  <si>
    <t>Synagis 50mg/0.5mL Vial#</t>
  </si>
  <si>
    <t>SYN03O</t>
  </si>
  <si>
    <t>Syntrend 6.25mg Tab</t>
  </si>
  <si>
    <t>SYN04O</t>
  </si>
  <si>
    <t>SYNTACE 10MG TAB</t>
  </si>
  <si>
    <t>SYS02E</t>
  </si>
  <si>
    <t>Systane Complete Eye Drops 10mL Bot</t>
  </si>
  <si>
    <t>TAF01O</t>
  </si>
  <si>
    <t>Tafinlar 75mg Cap</t>
  </si>
  <si>
    <t>TAG02O</t>
  </si>
  <si>
    <t>Tagrisso 80mg Tab</t>
  </si>
  <si>
    <t>TAI01O</t>
  </si>
  <si>
    <t>Taigexyn 250mg Cap</t>
  </si>
  <si>
    <t>TAI02I</t>
  </si>
  <si>
    <t>Taita No. 2 500ml</t>
  </si>
  <si>
    <t>TAI03I</t>
  </si>
  <si>
    <t>Taita No.3 500ml</t>
  </si>
  <si>
    <t>TAI05I</t>
  </si>
  <si>
    <t>Taita No.5 400ml</t>
  </si>
  <si>
    <t>TAI06I</t>
  </si>
  <si>
    <t>Taigexyn 500mg/250ml Bag</t>
  </si>
  <si>
    <t>TAK01I</t>
  </si>
  <si>
    <t>Takepron IV 30mg Vial</t>
  </si>
  <si>
    <t>TAK01O</t>
  </si>
  <si>
    <t>Takepron OD 30mg Tab#</t>
  </si>
  <si>
    <t>TAL01I</t>
  </si>
  <si>
    <t>Taltz 80mg/1ml Pen</t>
  </si>
  <si>
    <t>TAL01O</t>
  </si>
  <si>
    <t>Talzenna 0.25mg Cap</t>
  </si>
  <si>
    <t>TAL01S</t>
  </si>
  <si>
    <t>Talopram Oral Soln 150mg/150ml Bot</t>
  </si>
  <si>
    <t>TAM02O</t>
  </si>
  <si>
    <t>Tamiflu 75mg Cap(自費)</t>
  </si>
  <si>
    <t>TAM03O</t>
  </si>
  <si>
    <t>Tamiflu 75mg Cap(疾管署公費)</t>
  </si>
  <si>
    <t>TAM04O</t>
  </si>
  <si>
    <t>Tambocor 100mg Tab</t>
  </si>
  <si>
    <t>TAM07O</t>
  </si>
  <si>
    <t>Tamlosin D 0.2mg Tab</t>
  </si>
  <si>
    <t>TAP01I</t>
  </si>
  <si>
    <t>Tapimycin 4.5gm Vial#</t>
  </si>
  <si>
    <t>TAR02I</t>
  </si>
  <si>
    <t>Targocid 200mg Vial#</t>
  </si>
  <si>
    <t>TAR03O</t>
  </si>
  <si>
    <t>TARCEVA FC 150mg Tab#</t>
  </si>
  <si>
    <t>TAR05O</t>
  </si>
  <si>
    <t>Tarceva FC 100mg Tab#</t>
  </si>
  <si>
    <t>TAS01O</t>
  </si>
  <si>
    <t>TASIGNA 200 mg Cap#</t>
  </si>
  <si>
    <t>TAS02O</t>
  </si>
  <si>
    <t>Tasigna 150 mg Cap#</t>
  </si>
  <si>
    <t>TAT03I</t>
  </si>
  <si>
    <t>TATUMCEF 2GM VIAL</t>
  </si>
  <si>
    <t>TAZ02I</t>
  </si>
  <si>
    <t>Tazocin 2.25gm Vial#</t>
  </si>
  <si>
    <t>TEC02O</t>
  </si>
  <si>
    <t>TECFIDERA 240MG CAP#</t>
  </si>
  <si>
    <t>TEI01I</t>
  </si>
  <si>
    <t>Teicod 200mg Vial</t>
  </si>
  <si>
    <t>TEM02O</t>
  </si>
  <si>
    <t>TEMODAL 100mg Cap#</t>
  </si>
  <si>
    <t>TEM03O</t>
  </si>
  <si>
    <t>Temodal 20mg Cap#</t>
  </si>
  <si>
    <t>TEN04I</t>
  </si>
  <si>
    <t>Tencam 20mg Vial</t>
  </si>
  <si>
    <t>TEP01O</t>
  </si>
  <si>
    <t>Tepmetko 225mg Tab</t>
  </si>
  <si>
    <t>TES03I</t>
  </si>
  <si>
    <t>Testosterone Cypionate 200mg/1ml Amp</t>
  </si>
  <si>
    <t>TES05I</t>
  </si>
  <si>
    <t>Testodiol Depot Inj 1ml Amp</t>
  </si>
  <si>
    <t>TET01E</t>
  </si>
  <si>
    <t>Tetracycline Oph Oint 1% 5gm (GCPC)</t>
  </si>
  <si>
    <t>TET02O</t>
  </si>
  <si>
    <t>Tetracycline HCl 250mg Cap</t>
  </si>
  <si>
    <t>TET06I</t>
  </si>
  <si>
    <t>Tetraxim 0.5ml Syringe (公費)</t>
  </si>
  <si>
    <t>TET09I</t>
  </si>
  <si>
    <t>Tetanus Toxoid Adsorbed 0.5ml Amp</t>
  </si>
  <si>
    <t>TEZ01I</t>
  </si>
  <si>
    <t>Tezspire 210mg/1.91mL Pen</t>
  </si>
  <si>
    <t>TEZ02I</t>
  </si>
  <si>
    <t>Tezspire (恩慈) 210mg/1.91mL Pen</t>
  </si>
  <si>
    <t>THA01O</t>
  </si>
  <si>
    <t>Thado 50mg Cap#</t>
  </si>
  <si>
    <t>THI01I</t>
  </si>
  <si>
    <t>Thiamine HCl 100mg/2mL Amp SY</t>
  </si>
  <si>
    <t>THO01O</t>
  </si>
  <si>
    <t>Thoin SR 125mg Cap</t>
  </si>
  <si>
    <t>THR01O</t>
  </si>
  <si>
    <t>Through Tab</t>
  </si>
  <si>
    <t>THY01I</t>
  </si>
  <si>
    <t>Thymoglobuline 25mg Vial#</t>
  </si>
  <si>
    <t>TIG01I</t>
  </si>
  <si>
    <t>Tigelin 50mg Vial</t>
  </si>
  <si>
    <t>TIM03E</t>
  </si>
  <si>
    <t>Timoptol XE 0.5% 2.5ml Bot#</t>
  </si>
  <si>
    <t>TOB03E</t>
  </si>
  <si>
    <t>Tobacin Eye Drops 0.3% 5mL Bot</t>
  </si>
  <si>
    <t>TOF02O</t>
  </si>
  <si>
    <t>Tofranil 25mg Tab</t>
  </si>
  <si>
    <t>TON01O</t>
  </si>
  <si>
    <t>Tonsaric 100mg Tab</t>
  </si>
  <si>
    <t>TON03O</t>
  </si>
  <si>
    <t>Tonvasca 10/2mg Cap</t>
  </si>
  <si>
    <t>TOP02E</t>
  </si>
  <si>
    <t>Topsym Cream 10gm Tube</t>
  </si>
  <si>
    <t>TOP06O</t>
  </si>
  <si>
    <t>Topamax 50mg Tab</t>
  </si>
  <si>
    <t>TOP07E</t>
  </si>
  <si>
    <t>Topsym Lotion 5mg/10ml</t>
  </si>
  <si>
    <t>TOR01E</t>
  </si>
  <si>
    <t>Toricam Gel 40gm Tube</t>
  </si>
  <si>
    <t>TOT01E</t>
  </si>
  <si>
    <t>Totifen Oph Soln 1.25mg/5ml Bot</t>
  </si>
  <si>
    <t>TOU01I</t>
  </si>
  <si>
    <t>Toujeo SoloStar 450iu/1.5ml#</t>
  </si>
  <si>
    <t>TRA01O</t>
  </si>
  <si>
    <t>Trajenta FC 5mg Tab#</t>
  </si>
  <si>
    <t>TRA02I</t>
  </si>
  <si>
    <t>Trandate 25mg/5ml Amp</t>
  </si>
  <si>
    <t>TRA03O</t>
  </si>
  <si>
    <t>Transamin 250mg Cap</t>
  </si>
  <si>
    <t>TRA07I</t>
  </si>
  <si>
    <t>Tramtor 100mg/2ml Amp #4</t>
  </si>
  <si>
    <t>TRA08I</t>
  </si>
  <si>
    <t>Tractocile 37.5mg/5ml Vial</t>
  </si>
  <si>
    <t>TRA13O</t>
  </si>
  <si>
    <t>TRACLEER-CHD 125mg Tab#</t>
  </si>
  <si>
    <t>TRA14O</t>
  </si>
  <si>
    <t>TRAJENTA DUO 2.5/850MG TAB#</t>
  </si>
  <si>
    <t>TRE01E</t>
  </si>
  <si>
    <t>Tretinoin Cream 0.1% 5gm/Tube</t>
  </si>
  <si>
    <t>TRE02E</t>
  </si>
  <si>
    <t>Trelegy Ellipta 92/55/22mcg Inh; 30d</t>
  </si>
  <si>
    <t>TRE03E</t>
  </si>
  <si>
    <t>TRELEGY ELLIPTA 184/55/22 MCG INH; 30D</t>
  </si>
  <si>
    <t>TRE03I</t>
  </si>
  <si>
    <t>Tresiba Flextouch 300U/3ml</t>
  </si>
  <si>
    <t>TRI07O</t>
  </si>
  <si>
    <t>Tritace 2.5mg Tab</t>
  </si>
  <si>
    <t>TRI08O</t>
  </si>
  <si>
    <t>Trileptal 300mg Tab</t>
  </si>
  <si>
    <t>TRI09O</t>
  </si>
  <si>
    <t>TRITACE 10mg Tab</t>
  </si>
  <si>
    <t>TRI12E</t>
  </si>
  <si>
    <t>Trimbow 100/6/12.5mcg Inh.;120d</t>
  </si>
  <si>
    <t>TRO01E</t>
  </si>
  <si>
    <t>TROPINE EYE DROPS 0.3% 5ML BOT</t>
  </si>
  <si>
    <t>TRO01O</t>
  </si>
  <si>
    <t>Trolovol 300mg Tab</t>
  </si>
  <si>
    <t>TRO02E</t>
  </si>
  <si>
    <t>Tropine Eye Drop 0.125% 5ml Bot</t>
  </si>
  <si>
    <t>TRO02O</t>
  </si>
  <si>
    <t>Trokendi XR 50mg Cap</t>
  </si>
  <si>
    <t>TRU01I</t>
  </si>
  <si>
    <t>Trulicity 1.5mg/0.5ml Pen#</t>
  </si>
  <si>
    <t>TS101O</t>
  </si>
  <si>
    <t>TS-1 20 mg Cap</t>
  </si>
  <si>
    <t>TYG01I</t>
  </si>
  <si>
    <t>Tygacil 50mg Vial#</t>
  </si>
  <si>
    <t>TYK01O</t>
  </si>
  <si>
    <t>Tykerb 250mg Tab#</t>
  </si>
  <si>
    <t>TYS01I</t>
  </si>
  <si>
    <t>Tysabri For Infusion 300mg/15ml Vial#</t>
  </si>
  <si>
    <t>UFU01O</t>
  </si>
  <si>
    <t>Ufur Cap#</t>
  </si>
  <si>
    <t>ULC01I</t>
  </si>
  <si>
    <t>Ulcertin 20mg/2ml Amp#</t>
  </si>
  <si>
    <t>ULE01S</t>
  </si>
  <si>
    <t>Ulexin Susp 25mg/ml;60ml Bot</t>
  </si>
  <si>
    <t>ULT01I</t>
  </si>
  <si>
    <t>Ultomiris 300mg/3mL Vial</t>
  </si>
  <si>
    <t>ULT02E</t>
  </si>
  <si>
    <t>Ultibro Breezhaler 50/110mcg/cap; 30Cap#</t>
  </si>
  <si>
    <t>UPL01I</t>
  </si>
  <si>
    <t>Uplizna 100mg Vial</t>
  </si>
  <si>
    <t>UPT04O</t>
  </si>
  <si>
    <t>Uptravi 200mcg Tab</t>
  </si>
  <si>
    <t>UPT05O</t>
  </si>
  <si>
    <t>UPTRAVI 600MCG TAB</t>
  </si>
  <si>
    <t>UPT06O</t>
  </si>
  <si>
    <t>UPTRAVI 800MCG TAB</t>
  </si>
  <si>
    <t>URE03E</t>
  </si>
  <si>
    <t>Urea Cream 100mg/gm;20gm</t>
  </si>
  <si>
    <t>URE04E</t>
  </si>
  <si>
    <t>Ureson Cream 16gm Tube</t>
  </si>
  <si>
    <t>URI02O</t>
  </si>
  <si>
    <t>URIEF FC 8MG TAB</t>
  </si>
  <si>
    <t>URO01O</t>
  </si>
  <si>
    <t>Urosin FC 100mg Tab</t>
  </si>
  <si>
    <t>URO02O</t>
  </si>
  <si>
    <t>UroSAN 100mg Cap</t>
  </si>
  <si>
    <t>URO05I</t>
  </si>
  <si>
    <t>Uromitexan 400mg/4ml Amp</t>
  </si>
  <si>
    <t>URO05O</t>
  </si>
  <si>
    <t>Uroprin 100mg Tab (Pyridium)</t>
  </si>
  <si>
    <t>URO07I</t>
  </si>
  <si>
    <t>Urokinase 60000IU Vial YCH</t>
  </si>
  <si>
    <t>URO07O</t>
  </si>
  <si>
    <t>Urotrol 15mg Tab</t>
  </si>
  <si>
    <t>USO01E</t>
  </si>
  <si>
    <t>U Soft Cream 40% 10gm Tube</t>
  </si>
  <si>
    <t>USO01I</t>
  </si>
  <si>
    <t>U-Sodin 5mg/2ml Amp</t>
  </si>
  <si>
    <t>UTA01O</t>
  </si>
  <si>
    <t>Utapine 200mg Tab</t>
  </si>
  <si>
    <t>UTR01O</t>
  </si>
  <si>
    <t>Utrogestan 100mg Cap</t>
  </si>
  <si>
    <t>UTR02O</t>
  </si>
  <si>
    <t>Utraphen FC 37.5/325mg Tab#4</t>
  </si>
  <si>
    <t>UWA01O</t>
  </si>
  <si>
    <t>Uwarin 2.5mg Tab</t>
  </si>
  <si>
    <t>UWA02O</t>
  </si>
  <si>
    <t>UWARIN 5MG TAB</t>
  </si>
  <si>
    <t>VAB01I</t>
  </si>
  <si>
    <t>Vabysmo 6mg/0.05mL Vial</t>
  </si>
  <si>
    <t>VAB02I</t>
  </si>
  <si>
    <t>Vabysmo (恩慈) 6mg/0.05mL Vial</t>
  </si>
  <si>
    <t>VAG01I</t>
  </si>
  <si>
    <t>Vagostin 0.5mg/1ml Amp</t>
  </si>
  <si>
    <t>VAL03O</t>
  </si>
  <si>
    <t>Valdoxan FC 25mg Tab</t>
  </si>
  <si>
    <t>VAL04O</t>
  </si>
  <si>
    <t>Valcyte 450mg Tab</t>
  </si>
  <si>
    <t>VAL05O</t>
  </si>
  <si>
    <t>Valtrex 500mg Tab</t>
  </si>
  <si>
    <t>VAN04I</t>
  </si>
  <si>
    <t>Vanco 1g Vial</t>
  </si>
  <si>
    <t>VAN04O</t>
  </si>
  <si>
    <t>Vancover 125mg Cap</t>
  </si>
  <si>
    <t>VAQ01I</t>
  </si>
  <si>
    <t>VAQTA 25U/0.5ml Vial</t>
  </si>
  <si>
    <t>VAQ02I</t>
  </si>
  <si>
    <t>VAQTA 50U/1ml Vial (Adult)</t>
  </si>
  <si>
    <t>VAR01I</t>
  </si>
  <si>
    <t>Varivax (公費) 0.5ml Vial</t>
  </si>
  <si>
    <t>VAR04I</t>
  </si>
  <si>
    <t>Varivax (自費) 0.5ml Vial</t>
  </si>
  <si>
    <t>VAX06I</t>
  </si>
  <si>
    <t>Vaxigrip (自費) 0.5mL Syringe</t>
  </si>
  <si>
    <t>VAX07I</t>
  </si>
  <si>
    <t>Vaxigrip (公費) 0.5mL Syringe</t>
  </si>
  <si>
    <t>VAX09I</t>
  </si>
  <si>
    <t>Vaxneuvance 15 (自費) Conj Vaccine</t>
  </si>
  <si>
    <t>VB103O</t>
  </si>
  <si>
    <t>Vitamin B1 100mg Tab (Johnson)</t>
  </si>
  <si>
    <t>VEL01O</t>
  </si>
  <si>
    <t>Velexbru 80mg Tab</t>
  </si>
  <si>
    <t>VEM01O</t>
  </si>
  <si>
    <t>Vemlidy 25mg tab#</t>
  </si>
  <si>
    <t>VEN02E</t>
  </si>
  <si>
    <t>Ventolin Inhaler 200d</t>
  </si>
  <si>
    <t>VEN04E</t>
  </si>
  <si>
    <t>Ventavis 20mcg/2ml Nebuliser Soln#</t>
  </si>
  <si>
    <t>VEN04O</t>
  </si>
  <si>
    <t>Venina 28Tab/Piece</t>
  </si>
  <si>
    <t>VEN05O</t>
  </si>
  <si>
    <t>Venclexta 100mg Tab</t>
  </si>
  <si>
    <t>VER01O</t>
  </si>
  <si>
    <t>Verzenio 150mg Tab</t>
  </si>
  <si>
    <t>VER02I</t>
  </si>
  <si>
    <t>Verorab Vaccine 0.5ml Vial</t>
  </si>
  <si>
    <t>VER04O</t>
  </si>
  <si>
    <t>VERQUVO FC 10MG TAB</t>
  </si>
  <si>
    <t>VES01O</t>
  </si>
  <si>
    <t>Vesanoid 10mg Cap#</t>
  </si>
  <si>
    <t>VES02O</t>
  </si>
  <si>
    <t>Vesicare FC 5mg Tab#</t>
  </si>
  <si>
    <t>VFE01I</t>
  </si>
  <si>
    <t>Vfend 200mg Vial</t>
  </si>
  <si>
    <t>VFE01O</t>
  </si>
  <si>
    <t>Vfend 200mg Tab</t>
  </si>
  <si>
    <t>VGE01I</t>
  </si>
  <si>
    <t>V-Genta 80mg/2ml Vial</t>
  </si>
  <si>
    <t>VIA03O</t>
  </si>
  <si>
    <t>Viagra 100mg Tab</t>
  </si>
  <si>
    <t>VIA04O</t>
  </si>
  <si>
    <t>Viagra ODT 50mg Tab</t>
  </si>
  <si>
    <t>VIA05O</t>
  </si>
  <si>
    <t>Viartril-S 1500mg Pack; 30Pack/Box</t>
  </si>
  <si>
    <t>VIA06O</t>
  </si>
  <si>
    <t>Viagra OD 50mg Film</t>
  </si>
  <si>
    <t>VIC01I</t>
  </si>
  <si>
    <t>Victoza 18mg/3ml Pen#</t>
  </si>
  <si>
    <t>VID01E</t>
  </si>
  <si>
    <t>Vidisic Gel 10gm Tube</t>
  </si>
  <si>
    <t>VIG01E</t>
  </si>
  <si>
    <t>Vigamox Oph Soln 0.5% 5ml</t>
  </si>
  <si>
    <t>VIM01E</t>
  </si>
  <si>
    <t>Vimax Foaming Solution</t>
  </si>
  <si>
    <t>VIM01I</t>
  </si>
  <si>
    <t>Vimpat IV 200mg/20ml Vial</t>
  </si>
  <si>
    <t>VIM01O</t>
  </si>
  <si>
    <t>Vimpat 100mg Tab</t>
  </si>
  <si>
    <t>VIN01O</t>
  </si>
  <si>
    <t>Vinobin 20mg Softgel Cap</t>
  </si>
  <si>
    <t>VIN02O</t>
  </si>
  <si>
    <t>VINOBIN 30MG SOFTGEL CAP</t>
  </si>
  <si>
    <t>VIR01O</t>
  </si>
  <si>
    <t>Viread 300mg Tab#</t>
  </si>
  <si>
    <t>VIS02O</t>
  </si>
  <si>
    <t>Visanne 2mg Tab</t>
  </si>
  <si>
    <t>VIT01I</t>
  </si>
  <si>
    <t>Vitacicol 100mg/2ml Amp (Vit. C)</t>
  </si>
  <si>
    <t>VIT05I</t>
  </si>
  <si>
    <t>VitaCAL 20ml Amp (Ca2+:5.44mEq)</t>
  </si>
  <si>
    <t>VIT07I</t>
  </si>
  <si>
    <t>Vitacicol Forte 5000mg/20ml Amp</t>
  </si>
  <si>
    <t>VOL01I</t>
  </si>
  <si>
    <t>Voluven Soln 6% 500ml Bag</t>
  </si>
  <si>
    <t>VOL01O</t>
  </si>
  <si>
    <t>Volna-K F.C 25mg Tab</t>
  </si>
  <si>
    <t>VOL04O</t>
  </si>
  <si>
    <t>Voltaren SR 75mg Tab</t>
  </si>
  <si>
    <t>VOR02E</t>
  </si>
  <si>
    <t>Voren-G Gel 1% 40gm</t>
  </si>
  <si>
    <t>VOR03E</t>
  </si>
  <si>
    <t>Voren 12.5mg Supp</t>
  </si>
  <si>
    <t>VOT01O</t>
  </si>
  <si>
    <t>Votrient FC 200mg Tab#</t>
  </si>
  <si>
    <t>VYZ01E</t>
  </si>
  <si>
    <t>Vyzulta 0.024% 5mL Bot</t>
  </si>
  <si>
    <t>WAK01O</t>
  </si>
  <si>
    <t>Wakix FC 18mg Tab</t>
  </si>
  <si>
    <t>WAT05I</t>
  </si>
  <si>
    <t>Water For Inj 20ml (信東)</t>
  </si>
  <si>
    <t>WAT07E</t>
  </si>
  <si>
    <t>Water For Irrigation 1000ml Bot塑膠瓶</t>
  </si>
  <si>
    <t>WEG01I</t>
  </si>
  <si>
    <t>Wegovy 1mg/dose FlexTouch Pen</t>
  </si>
  <si>
    <t>WEG02I</t>
  </si>
  <si>
    <t>Wegovy 1.7mg/dose FlexTouch Pen</t>
  </si>
  <si>
    <t>WEI02O</t>
  </si>
  <si>
    <t>Weisu 200mg Tab</t>
  </si>
  <si>
    <t>WEL03O</t>
  </si>
  <si>
    <t>Wellbutrin XL 150mg Tab#</t>
  </si>
  <si>
    <t>WEM01S</t>
  </si>
  <si>
    <t>Wempty Susp 60mg/60ml Bot</t>
  </si>
  <si>
    <t>WIT01O</t>
  </si>
  <si>
    <t>Witgen 10mg Tab#</t>
  </si>
  <si>
    <t>XAL01E</t>
  </si>
  <si>
    <t>Xalatan 0.005% 2.5ml</t>
  </si>
  <si>
    <t>XAL01O</t>
  </si>
  <si>
    <t>Xalkori 250mg Cap#</t>
  </si>
  <si>
    <t>XAL02E</t>
  </si>
  <si>
    <t>Xalacom Eye Drops</t>
  </si>
  <si>
    <t>XAM01E</t>
  </si>
  <si>
    <t>Xamiol Gel 30g</t>
  </si>
  <si>
    <t>XAN01O</t>
  </si>
  <si>
    <t>Xanax 0.25mg Tab #4</t>
  </si>
  <si>
    <t>XAN03O</t>
  </si>
  <si>
    <t>Xanthium 200mg Cap</t>
  </si>
  <si>
    <t>XAN04O</t>
  </si>
  <si>
    <t>XANAX XR 0.5mg Tab #4</t>
  </si>
  <si>
    <t>XAR01O</t>
  </si>
  <si>
    <t>XARELTO FC 10MG TAB#</t>
  </si>
  <si>
    <t>XAR02O</t>
  </si>
  <si>
    <t>XARELTO FC 20mg Tab#</t>
  </si>
  <si>
    <t>XAR03O</t>
  </si>
  <si>
    <t>XARELTO FC 15mg Tab#</t>
  </si>
  <si>
    <t>XAR04O</t>
  </si>
  <si>
    <t>Xarelto FC 2.5mg Tab#</t>
  </si>
  <si>
    <t>XEL01O</t>
  </si>
  <si>
    <t>Xeloda 500mg Tab#</t>
  </si>
  <si>
    <t>XEL02O</t>
  </si>
  <si>
    <t>Xeljanz 5mg Tab#</t>
  </si>
  <si>
    <t>XEL03O</t>
  </si>
  <si>
    <t>XELJANZ XR 11MG TAB</t>
  </si>
  <si>
    <t>XGE01I</t>
  </si>
  <si>
    <t>Xgeva 120mg/1.7ml Vial</t>
  </si>
  <si>
    <t>XGE02I</t>
  </si>
  <si>
    <t>Xgeva 120mg/1mL Syringe</t>
  </si>
  <si>
    <t>XIG01O</t>
  </si>
  <si>
    <t>Xigduo XR 10/1000mg Tab#</t>
  </si>
  <si>
    <t>XOF01O</t>
  </si>
  <si>
    <t>Xofluza 20mg Tab</t>
  </si>
  <si>
    <t>XOL01I</t>
  </si>
  <si>
    <t>Xolair 150mg/mL Syringe#</t>
  </si>
  <si>
    <t>XOL02I</t>
  </si>
  <si>
    <t>Xolair (恩慈) 150mg/mL Syringe</t>
  </si>
  <si>
    <t>XTA02O</t>
  </si>
  <si>
    <t>Xtandi FC 40mg Tab</t>
  </si>
  <si>
    <t>XYJ01E</t>
  </si>
  <si>
    <t>Xylocaine Jelly 2% 30gm</t>
  </si>
  <si>
    <t>XYS02E</t>
  </si>
  <si>
    <t>Xylocaine Spray 10%</t>
  </si>
  <si>
    <t>XYZ01O</t>
  </si>
  <si>
    <t>Xyzal 5mg Tab</t>
  </si>
  <si>
    <t>YAZ01O</t>
  </si>
  <si>
    <t>Yaz 28tab/Box</t>
  </si>
  <si>
    <t>YOU01O</t>
  </si>
  <si>
    <t>Youkoxia FC 60mg Tab</t>
  </si>
  <si>
    <t>YUF01I</t>
  </si>
  <si>
    <t>Yuflyma 40mg/0.4mL Pen</t>
  </si>
  <si>
    <t>ZAL01E</t>
  </si>
  <si>
    <t>Zalain Vag Tab</t>
  </si>
  <si>
    <t>ZAL02E</t>
  </si>
  <si>
    <t>ZALAIN CREAM 2% 15g/Tube</t>
  </si>
  <si>
    <t>ZAL03E</t>
  </si>
  <si>
    <t>Zalain Ext Gel 2% 30ml Bot</t>
  </si>
  <si>
    <t>ZAN02O</t>
  </si>
  <si>
    <t>Zanidip 10mg Tab</t>
  </si>
  <si>
    <t>ZAP01O</t>
  </si>
  <si>
    <t>Zapine 100mg Tab#</t>
  </si>
  <si>
    <t>ZAV02I</t>
  </si>
  <si>
    <t>Zavicefta 2.5g Vial</t>
  </si>
  <si>
    <t>ZCO01O</t>
  </si>
  <si>
    <t>Zcough Soft 100mg Cap</t>
  </si>
  <si>
    <t>ZEJ01O</t>
  </si>
  <si>
    <t>Zejula 100mg Cap</t>
  </si>
  <si>
    <t>ZEP04O</t>
  </si>
  <si>
    <t>ZEPOSIA 0.92MG CAP</t>
  </si>
  <si>
    <t>ZER01I</t>
  </si>
  <si>
    <t>Zerbaxa 1.5gm Vial</t>
  </si>
  <si>
    <t>ZIE01I</t>
  </si>
  <si>
    <t>Ziextenzo 6mg/0.6mL Syringe</t>
  </si>
  <si>
    <t>ZIN03I</t>
  </si>
  <si>
    <t>Zinc Sulfate 29.7mg/5ml Amp (Zinc:6.75mg</t>
  </si>
  <si>
    <t>ZIN04E</t>
  </si>
  <si>
    <t>Zin Oint 20%/28.4gm</t>
  </si>
  <si>
    <t>ZIN04I</t>
  </si>
  <si>
    <t>Zinforo 600mg Vial</t>
  </si>
  <si>
    <t>ZIT01O</t>
  </si>
  <si>
    <t>Zithromax 250mg Tab#</t>
  </si>
  <si>
    <t>ZIT01S</t>
  </si>
  <si>
    <t>Zithromax Susp 40mg/ml;15ml#</t>
  </si>
  <si>
    <t>ZOD01I</t>
  </si>
  <si>
    <t>Zodonic 4mg/5mL Vial</t>
  </si>
  <si>
    <t>ZOL01I</t>
  </si>
  <si>
    <t>Zoladex Depot 3.6mg Syringe#</t>
  </si>
  <si>
    <t>ZOL01O</t>
  </si>
  <si>
    <t>Zolpidem FC 10mg Tab CYH #4</t>
  </si>
  <si>
    <t>ZOL02I</t>
  </si>
  <si>
    <t>ZOLADEX LA 10.8mg Syringe#</t>
  </si>
  <si>
    <t>ZOL02O</t>
  </si>
  <si>
    <t>Zoloft 50mg Tab</t>
  </si>
  <si>
    <t>ZON01O</t>
  </si>
  <si>
    <t>Zonegran FC 100 mg Tab</t>
  </si>
  <si>
    <t>ZOV01I</t>
  </si>
  <si>
    <t>Zovirax 250mg Vial</t>
  </si>
  <si>
    <t>ZUL01O</t>
  </si>
  <si>
    <t>Zulitor 4mg Tab#</t>
  </si>
  <si>
    <t>ZYP02I</t>
  </si>
  <si>
    <t>Zyprexa 10mg Vial#</t>
  </si>
  <si>
    <t>ZYP02O</t>
  </si>
  <si>
    <t>ZYPREXA ZYDIS 10mg Tab#</t>
  </si>
  <si>
    <t>ZYV01I</t>
  </si>
  <si>
    <t>Zyvox 600mg/300ml Bag#</t>
  </si>
  <si>
    <t>ZYV01O</t>
  </si>
  <si>
    <t>Zyvox 600mg Tab#</t>
  </si>
  <si>
    <t>藥品名稱</t>
  </si>
  <si>
    <t>實發量</t>
  </si>
  <si>
    <t>庫存量</t>
  </si>
  <si>
    <t>Hemoclot 500mg/5mL  Amp</t>
  </si>
  <si>
    <t>Low Mol. Dextran Dextrose 500mL</t>
  </si>
  <si>
    <t>Actein  Granules 200mg/3gm Pack</t>
  </si>
  <si>
    <t>Entresto  100mg Tab#</t>
  </si>
  <si>
    <t>TOB02E</t>
  </si>
  <si>
    <t>Tobrex Oph Soln 3mg/ml; 5ml</t>
  </si>
  <si>
    <t>商品名稱</t>
  </si>
  <si>
    <t>消耗量</t>
  </si>
  <si>
    <t>ADD01I</t>
  </si>
  <si>
    <t>Addaven 10ml amp</t>
  </si>
  <si>
    <t>PPN004</t>
  </si>
  <si>
    <t>Bfluid-PPN</t>
  </si>
  <si>
    <t>CLI03I</t>
  </si>
  <si>
    <t>CLINIMIX N17G35E 1500mL BAG</t>
  </si>
  <si>
    <t>Oxacillin Powder for Injection  1gm Vial</t>
  </si>
  <si>
    <t>Patent Blue V (專科)  50mg/2mL Amp</t>
  </si>
  <si>
    <t>SMO02I</t>
  </si>
  <si>
    <t>Smofkabiven Peripheral 1.45L/Bag</t>
  </si>
  <si>
    <t>TRU02I</t>
  </si>
  <si>
    <t>TRUXIMA 500MG/50ML VIAL</t>
  </si>
  <si>
    <t>TOU02I</t>
  </si>
  <si>
    <t>Toujeo SoloStar 1 iu (小單位檔)</t>
  </si>
  <si>
    <t>VGS01I</t>
  </si>
  <si>
    <t>VG Solution 500ml bot</t>
  </si>
  <si>
    <t>ALC13E</t>
  </si>
  <si>
    <t>Alcohol 95% 1ml</t>
  </si>
  <si>
    <t>TIS01E</t>
  </si>
  <si>
    <t>Tisseel Solution for sealant 2ml</t>
  </si>
  <si>
    <t>GLY01S</t>
  </si>
  <si>
    <t>Glycerin 100ml Bot</t>
  </si>
  <si>
    <t>LAC04S</t>
  </si>
  <si>
    <t>Lactul Syrup 1ml</t>
  </si>
  <si>
    <t>周均消耗量</t>
  </si>
  <si>
    <t>5FU01I</t>
  </si>
  <si>
    <t>5-Fu 1g/20ml Vial (Fluorouracil)</t>
  </si>
  <si>
    <t>CLI04I</t>
  </si>
  <si>
    <t>Clinimix N9G15E 1500mL Bag</t>
  </si>
  <si>
    <t>END02I</t>
  </si>
  <si>
    <t>ENDOXAN 500MG VIAL</t>
  </si>
  <si>
    <t>GEM03I</t>
  </si>
  <si>
    <t>Gemcitabine 200mg/5ml Vial Sandoz</t>
  </si>
  <si>
    <t>MAB01I</t>
  </si>
  <si>
    <t>Mabthera 500mg/50ml Vial#</t>
  </si>
  <si>
    <t>MOR03I</t>
  </si>
  <si>
    <t>Moriamin-SN 200ml Bot</t>
  </si>
  <si>
    <t>NUT04I</t>
  </si>
  <si>
    <t>NUTRIFLEX SPECIAL 70/240 1000ml Bag</t>
  </si>
  <si>
    <t>NOV12I</t>
  </si>
  <si>
    <t>NovoRapid 1 iu (FLEXPEN 小單位檔)</t>
  </si>
  <si>
    <t>ORENCIA  IV Inj 250MG#</t>
  </si>
  <si>
    <t>PAT01I</t>
  </si>
  <si>
    <t>Patent Blue V 2ml/AMP</t>
  </si>
  <si>
    <t>POT04I</t>
  </si>
  <si>
    <t>Pot Phosphate 20ml Amp</t>
  </si>
  <si>
    <t>RIX02I</t>
  </si>
  <si>
    <t>RIXATHON 500MG/50ML VIAL</t>
  </si>
  <si>
    <t>SMO01I</t>
  </si>
  <si>
    <t>SMOFlipid Emulsion 20% 250ml</t>
  </si>
  <si>
    <t>TAX02I</t>
  </si>
  <si>
    <t>Taxotere 20mg Vial#</t>
  </si>
  <si>
    <t>VIS02I</t>
  </si>
  <si>
    <t>Visipaque 320mg/mL Vial</t>
  </si>
  <si>
    <t>VIT08I</t>
  </si>
  <si>
    <t>Vitamin C 5gm/270ml Bag</t>
  </si>
  <si>
    <t>CYM02O</t>
  </si>
  <si>
    <t>Cymbalta 30mg Cap#</t>
  </si>
  <si>
    <t>Cytotec  200mcg Tab#</t>
  </si>
  <si>
    <t>NTG02O</t>
  </si>
  <si>
    <t>NTG (Nitrostat) 25tab/Bot</t>
  </si>
  <si>
    <t>BSS05E</t>
  </si>
  <si>
    <t>BSS 500ml Bot</t>
  </si>
  <si>
    <t>GLI01E</t>
  </si>
  <si>
    <t>Gliadel Wafer Implant 7.7mg</t>
  </si>
  <si>
    <t>MIO01E</t>
  </si>
  <si>
    <t>Miostat Intraocular 0.01%/1.5mL Vial</t>
  </si>
  <si>
    <t>NOR33E</t>
  </si>
  <si>
    <t>N.S. Irrigation 3000ml</t>
  </si>
  <si>
    <t>TIS02E</t>
  </si>
  <si>
    <t>Tisseel Solution for sealant 4ml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</si>
</sst>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$&quot;* #,##0.00_-;\-&quot;$&quot;* #,##0.00_-;_-&quot;$&quot;* &quot;-&quot;??_-;_-@_-"/>
    <numFmt numFmtId="41" formatCode="_-* #,##0_-;\-* #,##0_-;_-* &quot;-&quot;_-;_-@_-"/>
    <numFmt numFmtId="176" formatCode="_-\N\T&quot;$&quot;* #,##0_-;\-\N\T&quot;$&quot;* #,##0_-;_-\N\T&quot;$&quot;* &quot;-&quot;_-;_-@_-"/>
  </numFmts>
  <fonts count="27">
    <font>
      <sz val="12"/>
      <color theme="1"/>
      <name val="新細明體"/>
      <charset val="134"/>
      <scheme val="minor"/>
    </font>
    <font>
      <sz val="11"/>
      <color theme="1"/>
      <name val="新細明體"/>
      <charset val="134"/>
      <scheme val="minor"/>
    </font>
    <font>
      <b/>
      <sz val="14"/>
      <name val="新細明體"/>
      <charset val="134"/>
      <scheme val="minor"/>
    </font>
    <font>
      <b/>
      <sz val="12"/>
      <color theme="1"/>
      <name val="新細明體"/>
      <charset val="134"/>
      <scheme val="minor"/>
    </font>
    <font>
      <b/>
      <sz val="12"/>
      <color rgb="FFFF0000"/>
      <name val="新細明體"/>
      <charset val="134"/>
      <scheme val="minor"/>
    </font>
    <font>
      <sz val="12"/>
      <color theme="1"/>
      <name val="jf open 粉圓 2.1"/>
      <charset val="134"/>
    </font>
    <font>
      <b/>
      <sz val="11"/>
      <name val="jf open 粉圓 2.1"/>
      <charset val="134"/>
    </font>
    <font>
      <sz val="11"/>
      <color theme="1"/>
      <name val="jf open 粉圓 2.1"/>
      <charset val="134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2"/>
      <color rgb="FF0000FF"/>
      <name val="新細明體"/>
      <charset val="134"/>
      <scheme val="minor"/>
    </font>
    <font>
      <u/>
      <sz val="12"/>
      <color rgb="FF800080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4" fillId="10" borderId="3" applyNumberFormat="0" applyAlignment="0" applyProtection="0">
      <alignment vertical="center"/>
    </xf>
    <xf numFmtId="0" fontId="24" fillId="28" borderId="8" applyNumberFormat="0" applyAlignment="0" applyProtection="0">
      <alignment vertical="center"/>
    </xf>
    <xf numFmtId="0" fontId="26" fillId="28" borderId="3" applyNumberFormat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top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dxfs count="2">
    <dxf>
      <fill>
        <patternFill patternType="solid">
          <bgColor rgb="FFFFC000"/>
        </patternFill>
      </fill>
    </dxf>
    <dxf>
      <fill>
        <patternFill patternType="solid">
          <bgColor theme="7" tint="0.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31"/>
  <sheetViews>
    <sheetView tabSelected="1" workbookViewId="0">
      <selection activeCell="F1" sqref="F1"/>
    </sheetView>
  </sheetViews>
  <sheetFormatPr defaultColWidth="9" defaultRowHeight="14.25"/>
  <cols>
    <col min="1" max="1" width="11" style="7" customWidth="1"/>
    <col min="2" max="2" width="49.125" style="8" customWidth="1"/>
    <col min="3" max="3" width="13.875" style="7" customWidth="1"/>
    <col min="4" max="6" width="14.625" style="7" customWidth="1"/>
    <col min="7" max="7" width="13.875" style="7" customWidth="1"/>
    <col min="8" max="8" width="16.125" style="7" customWidth="1"/>
    <col min="9" max="9" width="9.125" style="7" customWidth="1"/>
    <col min="10" max="10" width="12.625" style="7"/>
    <col min="11" max="16384" width="9" style="7"/>
  </cols>
  <sheetData>
    <row r="1" spans="1:9">
      <c r="A1" s="13" t="s">
        <v>0</v>
      </c>
      <c r="B1" s="14" t="s">
        <v>1</v>
      </c>
      <c r="C1" s="1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3" t="s">
        <v>9</v>
      </c>
      <c r="B2" s="14" t="s">
        <v>10</v>
      </c>
      <c r="C2" s="13">
        <v>1184</v>
      </c>
      <c r="D2" s="7">
        <f>IFERROR(VLOOKUP(A2,'1227-29耗量'!$A$1:$C$602,3,FALSE),0)</f>
        <v>5</v>
      </c>
      <c r="E2" s="7">
        <f>C2-D2</f>
        <v>1179</v>
      </c>
      <c r="F2" s="7" t="str">
        <f>IFERROR(IF(E2=G2,"OK","錯誤"),"無資料")</f>
        <v>無資料</v>
      </c>
      <c r="G2" s="7" t="e">
        <f>VLOOKUP(A2,Sheet5!$A$2:$D$415,4,FALSE)</f>
        <v>#N/A</v>
      </c>
      <c r="H2" s="7" t="e">
        <f>VLOOKUP(A2,Sheet5!$A$2:$D$415,3,FALSE)</f>
        <v>#N/A</v>
      </c>
      <c r="I2" s="7">
        <f>VLOOKUP(A2,'1201-29周均耗用'!$A$1:$C$602,3,FALSE)</f>
        <v>114</v>
      </c>
    </row>
    <row r="3" spans="1:9">
      <c r="A3" s="13" t="s">
        <v>11</v>
      </c>
      <c r="B3" s="14" t="s">
        <v>12</v>
      </c>
      <c r="C3" s="13">
        <v>760</v>
      </c>
      <c r="D3" s="7">
        <f>IFERROR(VLOOKUP(A3,'1227-29耗量'!$A$1:$C$602,3,FALSE),0)</f>
        <v>3</v>
      </c>
      <c r="E3" s="7">
        <f t="shared" ref="E3:E66" si="0">C3-D3</f>
        <v>757</v>
      </c>
      <c r="F3" s="7" t="str">
        <f t="shared" ref="F3:F66" si="1">IFERROR(IF(E3=G3,"OK","錯誤"),"無資料")</f>
        <v>無資料</v>
      </c>
      <c r="G3" s="7" t="e">
        <f>VLOOKUP(A3,Sheet5!$A$2:$D$415,4,FALSE)</f>
        <v>#N/A</v>
      </c>
      <c r="H3" s="7" t="e">
        <f>VLOOKUP(A3,Sheet5!$A$2:$D$415,3,FALSE)</f>
        <v>#N/A</v>
      </c>
      <c r="I3" s="7">
        <f>VLOOKUP(A3,'1201-29周均耗用'!$A$1:$C$602,3,FALSE)</f>
        <v>91.8</v>
      </c>
    </row>
    <row r="4" spans="1:9">
      <c r="A4" s="13" t="s">
        <v>13</v>
      </c>
      <c r="B4" s="14" t="s">
        <v>14</v>
      </c>
      <c r="C4" s="13">
        <v>12</v>
      </c>
      <c r="D4" s="7">
        <f>IFERROR(VLOOKUP(A4,'1227-29耗量'!$A$1:$C$602,3,FALSE),0)</f>
        <v>0</v>
      </c>
      <c r="E4" s="7">
        <f t="shared" si="0"/>
        <v>12</v>
      </c>
      <c r="F4" s="7" t="str">
        <f t="shared" si="1"/>
        <v>錯誤</v>
      </c>
      <c r="G4" s="7">
        <f>VLOOKUP(A4,Sheet5!$A$2:$D$415,4,FALSE)</f>
        <v>7</v>
      </c>
      <c r="H4" s="7">
        <f>VLOOKUP(A4,Sheet5!$A$2:$D$415,3,FALSE)</f>
        <v>12</v>
      </c>
      <c r="I4" s="7">
        <f>VLOOKUP(A4,'1201-29周均耗用'!$A$1:$C$602,3,FALSE)</f>
        <v>3.5</v>
      </c>
    </row>
    <row r="5" spans="1:9">
      <c r="A5" s="13" t="s">
        <v>15</v>
      </c>
      <c r="B5" s="14" t="s">
        <v>16</v>
      </c>
      <c r="C5" s="13">
        <v>0</v>
      </c>
      <c r="D5" s="7">
        <f>IFERROR(VLOOKUP(A5,'1227-29耗量'!$A$1:$C$602,3,FALSE),0)</f>
        <v>0</v>
      </c>
      <c r="E5" s="7">
        <f t="shared" si="0"/>
        <v>0</v>
      </c>
      <c r="F5" s="7" t="str">
        <f t="shared" si="1"/>
        <v>無資料</v>
      </c>
      <c r="G5" s="7" t="e">
        <f>VLOOKUP(A5,Sheet5!$A$2:$D$415,4,FALSE)</f>
        <v>#N/A</v>
      </c>
      <c r="H5" s="7" t="e">
        <f>VLOOKUP(A5,Sheet5!$A$2:$D$415,3,FALSE)</f>
        <v>#N/A</v>
      </c>
      <c r="I5" s="7" t="e">
        <f>VLOOKUP(A5,'1201-29周均耗用'!$A$1:$C$602,3,FALSE)</f>
        <v>#N/A</v>
      </c>
    </row>
    <row r="6" spans="1:9">
      <c r="A6" s="13" t="s">
        <v>17</v>
      </c>
      <c r="B6" s="14" t="s">
        <v>18</v>
      </c>
      <c r="C6" s="13">
        <v>844</v>
      </c>
      <c r="D6" s="7">
        <f>IFERROR(VLOOKUP(A6,'1227-29耗量'!$A$1:$C$602,3,FALSE),0)</f>
        <v>31</v>
      </c>
      <c r="E6" s="7">
        <f t="shared" si="0"/>
        <v>813</v>
      </c>
      <c r="F6" s="7" t="str">
        <f t="shared" si="1"/>
        <v>無資料</v>
      </c>
      <c r="G6" s="7" t="e">
        <f>VLOOKUP(A6,Sheet5!$A$2:$D$415,4,FALSE)</f>
        <v>#N/A</v>
      </c>
      <c r="H6" s="7" t="e">
        <f>VLOOKUP(A6,Sheet5!$A$2:$D$415,3,FALSE)</f>
        <v>#N/A</v>
      </c>
      <c r="I6" s="7">
        <f>VLOOKUP(A6,'1201-29周均耗用'!$A$1:$C$602,3,FALSE)</f>
        <v>230.2</v>
      </c>
    </row>
    <row r="7" spans="1:9">
      <c r="A7" s="13" t="s">
        <v>19</v>
      </c>
      <c r="B7" s="14" t="s">
        <v>20</v>
      </c>
      <c r="C7" s="13">
        <v>1383</v>
      </c>
      <c r="D7" s="7">
        <f>IFERROR(VLOOKUP(A7,'1227-29耗量'!$A$1:$C$602,3,FALSE),0)</f>
        <v>61</v>
      </c>
      <c r="E7" s="7">
        <f t="shared" si="0"/>
        <v>1322</v>
      </c>
      <c r="F7" s="7" t="str">
        <f t="shared" si="1"/>
        <v>無資料</v>
      </c>
      <c r="G7" s="7" t="e">
        <f>VLOOKUP(A7,Sheet5!$A$2:$D$415,4,FALSE)</f>
        <v>#N/A</v>
      </c>
      <c r="H7" s="7" t="e">
        <f>VLOOKUP(A7,Sheet5!$A$2:$D$415,3,FALSE)</f>
        <v>#N/A</v>
      </c>
      <c r="I7" s="7">
        <f>VLOOKUP(A7,'1201-29周均耗用'!$A$1:$C$602,3,FALSE)</f>
        <v>280</v>
      </c>
    </row>
    <row r="8" spans="1:9">
      <c r="A8" s="13" t="s">
        <v>21</v>
      </c>
      <c r="B8" s="14" t="s">
        <v>22</v>
      </c>
      <c r="C8" s="13">
        <v>0</v>
      </c>
      <c r="D8" s="7">
        <f>IFERROR(VLOOKUP(A8,'1227-29耗量'!$A$1:$C$602,3,FALSE),0)</f>
        <v>0</v>
      </c>
      <c r="E8" s="7">
        <f t="shared" si="0"/>
        <v>0</v>
      </c>
      <c r="F8" s="7" t="str">
        <f t="shared" si="1"/>
        <v>無資料</v>
      </c>
      <c r="G8" s="7" t="e">
        <f>VLOOKUP(A8,Sheet5!$A$2:$D$415,4,FALSE)</f>
        <v>#N/A</v>
      </c>
      <c r="H8" s="7" t="e">
        <f>VLOOKUP(A8,Sheet5!$A$2:$D$415,3,FALSE)</f>
        <v>#N/A</v>
      </c>
      <c r="I8" s="7" t="e">
        <f>VLOOKUP(A8,'1201-29周均耗用'!$A$1:$C$602,3,FALSE)</f>
        <v>#N/A</v>
      </c>
    </row>
    <row r="9" spans="1:9">
      <c r="A9" s="13" t="s">
        <v>23</v>
      </c>
      <c r="B9" s="14" t="s">
        <v>24</v>
      </c>
      <c r="C9" s="13">
        <v>14</v>
      </c>
      <c r="D9" s="7">
        <f>VLOOKUP(A9,'1227-29耗量'!$A$1:$C$602,3,FALSE)</f>
        <v>2</v>
      </c>
      <c r="E9" s="7">
        <f t="shared" si="0"/>
        <v>12</v>
      </c>
      <c r="F9" s="7" t="str">
        <f t="shared" si="1"/>
        <v>錯誤</v>
      </c>
      <c r="G9" s="7">
        <f>VLOOKUP(A9,Sheet5!$A$2:$D$415,4,FALSE)</f>
        <v>16</v>
      </c>
      <c r="H9" s="7">
        <f>VLOOKUP(A9,Sheet5!$A$2:$D$415,3,FALSE)</f>
        <v>20</v>
      </c>
      <c r="I9" s="7">
        <f>VLOOKUP(A9,'1201-29周均耗用'!$A$1:$C$602,3,FALSE)</f>
        <v>2.8</v>
      </c>
    </row>
    <row r="10" spans="1:9">
      <c r="A10" s="13" t="s">
        <v>25</v>
      </c>
      <c r="B10" s="14" t="s">
        <v>26</v>
      </c>
      <c r="C10" s="13">
        <v>122</v>
      </c>
      <c r="D10" s="7">
        <f>IFERROR(VLOOKUP(A10,'1227-29耗量'!$A$1:$C$602,3,FALSE),0)</f>
        <v>9</v>
      </c>
      <c r="E10" s="7">
        <f t="shared" si="0"/>
        <v>113</v>
      </c>
      <c r="F10" s="7" t="str">
        <f t="shared" si="1"/>
        <v>無資料</v>
      </c>
      <c r="G10" s="7" t="e">
        <f>VLOOKUP(A10,Sheet5!$A$2:$D$415,4,FALSE)</f>
        <v>#N/A</v>
      </c>
      <c r="H10" s="7" t="e">
        <f>VLOOKUP(A10,Sheet5!$A$2:$D$415,3,FALSE)</f>
        <v>#N/A</v>
      </c>
      <c r="I10" s="7">
        <f>VLOOKUP(A10,'1201-29周均耗用'!$A$1:$C$602,3,FALSE)</f>
        <v>17.5</v>
      </c>
    </row>
    <row r="11" spans="1:9">
      <c r="A11" s="13" t="s">
        <v>27</v>
      </c>
      <c r="B11" s="14" t="s">
        <v>28</v>
      </c>
      <c r="C11" s="13">
        <v>1374</v>
      </c>
      <c r="D11" s="7">
        <f>VLOOKUP(A11,'1227-29耗量'!$A$1:$C$602,3,FALSE)</f>
        <v>32</v>
      </c>
      <c r="E11" s="7">
        <f t="shared" si="0"/>
        <v>1342</v>
      </c>
      <c r="F11" s="7" t="str">
        <f t="shared" si="1"/>
        <v>錯誤</v>
      </c>
      <c r="G11" s="7">
        <f>VLOOKUP(A11,Sheet5!$A$2:$D$415,4,FALSE)</f>
        <v>260</v>
      </c>
      <c r="H11" s="7">
        <f>VLOOKUP(A11,Sheet5!$A$2:$D$415,3,FALSE)</f>
        <v>1000</v>
      </c>
      <c r="I11" s="7">
        <f>VLOOKUP(A11,'1201-29周均耗用'!$A$1:$C$602,3,FALSE)</f>
        <v>124.8</v>
      </c>
    </row>
    <row r="12" spans="1:9">
      <c r="A12" s="13" t="s">
        <v>29</v>
      </c>
      <c r="B12" s="14" t="s">
        <v>30</v>
      </c>
      <c r="C12" s="13">
        <v>244</v>
      </c>
      <c r="D12" s="7">
        <f>IFERROR(VLOOKUP(A12,'1227-29耗量'!$A$1:$C$602,3,FALSE),0)</f>
        <v>1</v>
      </c>
      <c r="E12" s="7">
        <f t="shared" si="0"/>
        <v>243</v>
      </c>
      <c r="F12" s="7" t="str">
        <f t="shared" si="1"/>
        <v>無資料</v>
      </c>
      <c r="G12" s="7" t="e">
        <f>VLOOKUP(A12,Sheet5!$A$2:$D$415,4,FALSE)</f>
        <v>#N/A</v>
      </c>
      <c r="H12" s="7" t="e">
        <f>VLOOKUP(A12,Sheet5!$A$2:$D$415,3,FALSE)</f>
        <v>#N/A</v>
      </c>
      <c r="I12" s="7">
        <f>VLOOKUP(A12,'1201-29周均耗用'!$A$1:$C$602,3,FALSE)</f>
        <v>7.2</v>
      </c>
    </row>
    <row r="13" spans="1:9">
      <c r="A13" s="13" t="s">
        <v>31</v>
      </c>
      <c r="B13" s="14" t="s">
        <v>32</v>
      </c>
      <c r="C13" s="13">
        <v>16</v>
      </c>
      <c r="D13" s="7">
        <f>IFERROR(VLOOKUP(A13,'1227-29耗量'!$A$1:$C$602,3,FALSE),0)</f>
        <v>1</v>
      </c>
      <c r="E13" s="7">
        <f t="shared" si="0"/>
        <v>15</v>
      </c>
      <c r="F13" s="7" t="str">
        <f t="shared" si="1"/>
        <v>無資料</v>
      </c>
      <c r="G13" s="7" t="e">
        <f>VLOOKUP(A13,Sheet5!$A$2:$D$415,4,FALSE)</f>
        <v>#N/A</v>
      </c>
      <c r="H13" s="7" t="e">
        <f>VLOOKUP(A13,Sheet5!$A$2:$D$415,3,FALSE)</f>
        <v>#N/A</v>
      </c>
      <c r="I13" s="7" t="e">
        <f>VLOOKUP(A13,'1201-29周均耗用'!$A$1:$C$602,3,FALSE)</f>
        <v>#N/A</v>
      </c>
    </row>
    <row r="14" spans="1:9">
      <c r="A14" s="13" t="s">
        <v>33</v>
      </c>
      <c r="B14" s="14" t="s">
        <v>34</v>
      </c>
      <c r="C14" s="13">
        <v>0</v>
      </c>
      <c r="D14" s="7">
        <f>IFERROR(VLOOKUP(A14,'1227-29耗量'!$A$1:$C$602,3,FALSE),0)</f>
        <v>0</v>
      </c>
      <c r="E14" s="7">
        <f t="shared" si="0"/>
        <v>0</v>
      </c>
      <c r="F14" s="7" t="str">
        <f t="shared" si="1"/>
        <v>無資料</v>
      </c>
      <c r="G14" s="7" t="e">
        <f>VLOOKUP(A14,Sheet5!$A$2:$D$415,4,FALSE)</f>
        <v>#N/A</v>
      </c>
      <c r="H14" s="7" t="e">
        <f>VLOOKUP(A14,Sheet5!$A$2:$D$415,3,FALSE)</f>
        <v>#N/A</v>
      </c>
      <c r="I14" s="7" t="e">
        <f>VLOOKUP(A14,'1201-29周均耗用'!$A$1:$C$602,3,FALSE)</f>
        <v>#N/A</v>
      </c>
    </row>
    <row r="15" spans="1:9">
      <c r="A15" s="13" t="s">
        <v>35</v>
      </c>
      <c r="B15" s="14" t="s">
        <v>36</v>
      </c>
      <c r="C15" s="13">
        <v>15</v>
      </c>
      <c r="D15" s="7">
        <f>IFERROR(VLOOKUP(A15,'1227-29耗量'!$A$1:$C$602,3,FALSE),0)</f>
        <v>0</v>
      </c>
      <c r="E15" s="7">
        <f t="shared" si="0"/>
        <v>15</v>
      </c>
      <c r="F15" s="7" t="str">
        <f t="shared" si="1"/>
        <v>錯誤</v>
      </c>
      <c r="G15" s="7">
        <f>VLOOKUP(A15,Sheet5!$A$2:$D$415,4,FALSE)</f>
        <v>10</v>
      </c>
      <c r="H15" s="7">
        <f>VLOOKUP(A15,Sheet5!$A$2:$D$415,3,FALSE)</f>
        <v>10</v>
      </c>
      <c r="I15" s="7">
        <f>VLOOKUP(A15,'1201-29周均耗用'!$A$1:$C$602,3,FALSE)</f>
        <v>4</v>
      </c>
    </row>
    <row r="16" spans="1:9">
      <c r="A16" s="13" t="s">
        <v>37</v>
      </c>
      <c r="B16" s="14" t="s">
        <v>38</v>
      </c>
      <c r="C16" s="13">
        <v>79</v>
      </c>
      <c r="D16" s="7">
        <f>VLOOKUP(A16,'1227-29耗量'!$A$1:$C$602,3,FALSE)</f>
        <v>4</v>
      </c>
      <c r="E16" s="7">
        <f t="shared" si="0"/>
        <v>75</v>
      </c>
      <c r="F16" s="7" t="str">
        <f t="shared" si="1"/>
        <v>錯誤</v>
      </c>
      <c r="G16" s="7">
        <f>VLOOKUP(A16,Sheet5!$A$2:$D$415,4,FALSE)</f>
        <v>56</v>
      </c>
      <c r="H16" s="7">
        <f>VLOOKUP(A16,Sheet5!$A$2:$D$415,3,FALSE)</f>
        <v>90</v>
      </c>
      <c r="I16" s="7">
        <f>VLOOKUP(A16,'1201-29周均耗用'!$A$1:$C$602,3,FALSE)</f>
        <v>39</v>
      </c>
    </row>
    <row r="17" spans="1:9">
      <c r="A17" s="13" t="s">
        <v>39</v>
      </c>
      <c r="B17" s="14" t="s">
        <v>40</v>
      </c>
      <c r="C17" s="13">
        <v>0</v>
      </c>
      <c r="D17" s="7">
        <f>IFERROR(VLOOKUP(A17,'1227-29耗量'!$A$1:$C$602,3,FALSE),0)</f>
        <v>0</v>
      </c>
      <c r="E17" s="7">
        <f t="shared" si="0"/>
        <v>0</v>
      </c>
      <c r="F17" s="7" t="str">
        <f t="shared" si="1"/>
        <v>無資料</v>
      </c>
      <c r="G17" s="7" t="e">
        <f>VLOOKUP(A17,Sheet5!$A$2:$D$415,4,FALSE)</f>
        <v>#N/A</v>
      </c>
      <c r="H17" s="7" t="e">
        <f>VLOOKUP(A17,Sheet5!$A$2:$D$415,3,FALSE)</f>
        <v>#N/A</v>
      </c>
      <c r="I17" s="7" t="e">
        <f>VLOOKUP(A17,'1201-29周均耗用'!$A$1:$C$602,3,FALSE)</f>
        <v>#N/A</v>
      </c>
    </row>
    <row r="18" spans="1:9">
      <c r="A18" s="13" t="s">
        <v>41</v>
      </c>
      <c r="B18" s="14" t="s">
        <v>42</v>
      </c>
      <c r="C18" s="13">
        <v>743</v>
      </c>
      <c r="D18" s="7">
        <f>VLOOKUP(A18,'1227-29耗量'!$A$1:$C$602,3,FALSE)</f>
        <v>118</v>
      </c>
      <c r="E18" s="7">
        <f t="shared" si="0"/>
        <v>625</v>
      </c>
      <c r="F18" s="7" t="str">
        <f t="shared" si="1"/>
        <v>錯誤</v>
      </c>
      <c r="G18" s="7">
        <f>VLOOKUP(A18,Sheet5!$A$2:$D$415,4,FALSE)</f>
        <v>624</v>
      </c>
      <c r="H18" s="7">
        <f>VLOOKUP(A18,Sheet5!$A$2:$D$415,3,FALSE)</f>
        <v>1120</v>
      </c>
      <c r="I18" s="7">
        <f>VLOOKUP(A18,'1201-29周均耗用'!$A$1:$C$602,3,FALSE)</f>
        <v>535.8</v>
      </c>
    </row>
    <row r="19" spans="1:9">
      <c r="A19" s="13" t="s">
        <v>43</v>
      </c>
      <c r="B19" s="14" t="s">
        <v>44</v>
      </c>
      <c r="C19" s="13">
        <v>6</v>
      </c>
      <c r="D19" s="7">
        <f>IFERROR(VLOOKUP(A19,'1227-29耗量'!$A$1:$C$602,3,FALSE),0)</f>
        <v>0</v>
      </c>
      <c r="E19" s="7">
        <f t="shared" si="0"/>
        <v>6</v>
      </c>
      <c r="F19" s="7" t="str">
        <f t="shared" si="1"/>
        <v>無資料</v>
      </c>
      <c r="G19" s="7" t="e">
        <f>VLOOKUP(A19,Sheet5!$A$2:$D$415,4,FALSE)</f>
        <v>#N/A</v>
      </c>
      <c r="H19" s="7" t="e">
        <f>VLOOKUP(A19,Sheet5!$A$2:$D$415,3,FALSE)</f>
        <v>#N/A</v>
      </c>
      <c r="I19" s="7">
        <f>VLOOKUP(A19,'1201-29周均耗用'!$A$1:$C$602,3,FALSE)</f>
        <v>-1.5</v>
      </c>
    </row>
    <row r="20" spans="1:9">
      <c r="A20" s="13" t="s">
        <v>45</v>
      </c>
      <c r="B20" s="14" t="s">
        <v>46</v>
      </c>
      <c r="C20" s="13">
        <v>9250</v>
      </c>
      <c r="D20" s="7">
        <f>VLOOKUP(A20,'1227-29耗量'!$A$1:$C$602,3,FALSE)</f>
        <v>565</v>
      </c>
      <c r="E20" s="7">
        <f t="shared" si="0"/>
        <v>8685</v>
      </c>
      <c r="F20" s="7" t="str">
        <f t="shared" si="1"/>
        <v>錯誤</v>
      </c>
      <c r="G20" s="7">
        <f>VLOOKUP(A20,Sheet5!$A$2:$D$415,4,FALSE)</f>
        <v>4081</v>
      </c>
      <c r="H20" s="7">
        <f>VLOOKUP(A20,Sheet5!$A$2:$D$415,3,FALSE)</f>
        <v>11200</v>
      </c>
      <c r="I20" s="7">
        <f>VLOOKUP(A20,'1201-29周均耗用'!$A$1:$C$602,3,FALSE)</f>
        <v>3445.2</v>
      </c>
    </row>
    <row r="21" spans="1:9">
      <c r="A21" s="13" t="s">
        <v>47</v>
      </c>
      <c r="B21" s="14" t="s">
        <v>48</v>
      </c>
      <c r="C21" s="13">
        <v>10</v>
      </c>
      <c r="D21" s="7">
        <f>IFERROR(VLOOKUP(A21,'1227-29耗量'!$A$1:$C$602,3,FALSE),0)</f>
        <v>0</v>
      </c>
      <c r="E21" s="7">
        <f t="shared" si="0"/>
        <v>10</v>
      </c>
      <c r="F21" s="7" t="str">
        <f t="shared" si="1"/>
        <v>錯誤</v>
      </c>
      <c r="G21" s="7">
        <f>VLOOKUP(A21,Sheet5!$A$2:$D$415,4,FALSE)</f>
        <v>6</v>
      </c>
      <c r="H21" s="7">
        <f>VLOOKUP(A21,Sheet5!$A$2:$D$415,3,FALSE)</f>
        <v>10</v>
      </c>
      <c r="I21" s="7">
        <f>VLOOKUP(A21,'1201-29周均耗用'!$A$1:$C$602,3,FALSE)</f>
        <v>2</v>
      </c>
    </row>
    <row r="22" spans="1:9">
      <c r="A22" s="13" t="s">
        <v>49</v>
      </c>
      <c r="B22" s="14" t="s">
        <v>50</v>
      </c>
      <c r="C22" s="13">
        <v>0</v>
      </c>
      <c r="D22" s="7">
        <f>IFERROR(VLOOKUP(A22,'1227-29耗量'!$A$1:$C$602,3,FALSE),0)</f>
        <v>0</v>
      </c>
      <c r="E22" s="7">
        <f t="shared" si="0"/>
        <v>0</v>
      </c>
      <c r="F22" s="7" t="str">
        <f t="shared" si="1"/>
        <v>無資料</v>
      </c>
      <c r="G22" s="7" t="e">
        <f>VLOOKUP(A22,Sheet5!$A$2:$D$415,4,FALSE)</f>
        <v>#N/A</v>
      </c>
      <c r="H22" s="7" t="e">
        <f>VLOOKUP(A22,Sheet5!$A$2:$D$415,3,FALSE)</f>
        <v>#N/A</v>
      </c>
      <c r="I22" s="7" t="e">
        <f>VLOOKUP(A22,'1201-29周均耗用'!$A$1:$C$602,3,FALSE)</f>
        <v>#N/A</v>
      </c>
    </row>
    <row r="23" spans="1:9">
      <c r="A23" s="13" t="s">
        <v>51</v>
      </c>
      <c r="B23" s="14" t="s">
        <v>52</v>
      </c>
      <c r="C23" s="13">
        <v>520</v>
      </c>
      <c r="D23" s="7">
        <f>VLOOKUP(A23,'1227-29耗量'!$A$1:$C$602,3,FALSE)</f>
        <v>10</v>
      </c>
      <c r="E23" s="7">
        <f t="shared" si="0"/>
        <v>510</v>
      </c>
      <c r="F23" s="7" t="str">
        <f t="shared" si="1"/>
        <v>錯誤</v>
      </c>
      <c r="G23" s="7">
        <f>VLOOKUP(A23,Sheet5!$A$2:$D$415,4,FALSE)</f>
        <v>133</v>
      </c>
      <c r="H23" s="7">
        <f>VLOOKUP(A23,Sheet5!$A$2:$D$415,3,FALSE)</f>
        <v>300</v>
      </c>
      <c r="I23" s="7">
        <f>VLOOKUP(A23,'1201-29周均耗用'!$A$1:$C$602,3,FALSE)</f>
        <v>81.2</v>
      </c>
    </row>
    <row r="24" spans="1:9">
      <c r="A24" s="13" t="s">
        <v>53</v>
      </c>
      <c r="B24" s="14" t="s">
        <v>54</v>
      </c>
      <c r="C24" s="13">
        <v>0</v>
      </c>
      <c r="D24" s="7">
        <f>IFERROR(VLOOKUP(A24,'1227-29耗量'!$A$1:$C$602,3,FALSE),0)</f>
        <v>0</v>
      </c>
      <c r="E24" s="7">
        <f t="shared" si="0"/>
        <v>0</v>
      </c>
      <c r="F24" s="7" t="str">
        <f t="shared" si="1"/>
        <v>無資料</v>
      </c>
      <c r="G24" s="7" t="e">
        <f>VLOOKUP(A24,Sheet5!$A$2:$D$415,4,FALSE)</f>
        <v>#N/A</v>
      </c>
      <c r="H24" s="7" t="e">
        <f>VLOOKUP(A24,Sheet5!$A$2:$D$415,3,FALSE)</f>
        <v>#N/A</v>
      </c>
      <c r="I24" s="7" t="e">
        <f>VLOOKUP(A24,'1201-29周均耗用'!$A$1:$C$602,3,FALSE)</f>
        <v>#N/A</v>
      </c>
    </row>
    <row r="25" spans="1:9">
      <c r="A25" s="13" t="s">
        <v>55</v>
      </c>
      <c r="B25" s="14" t="s">
        <v>56</v>
      </c>
      <c r="C25" s="13">
        <v>319</v>
      </c>
      <c r="D25" s="7">
        <f>IFERROR(VLOOKUP(A25,'1227-29耗量'!$A$1:$C$602,3,FALSE),0)</f>
        <v>1</v>
      </c>
      <c r="E25" s="7">
        <f t="shared" si="0"/>
        <v>318</v>
      </c>
      <c r="F25" s="7" t="str">
        <f t="shared" si="1"/>
        <v>無資料</v>
      </c>
      <c r="G25" s="7" t="e">
        <f>VLOOKUP(A25,Sheet5!$A$2:$D$415,4,FALSE)</f>
        <v>#N/A</v>
      </c>
      <c r="H25" s="7" t="e">
        <f>VLOOKUP(A25,Sheet5!$A$2:$D$415,3,FALSE)</f>
        <v>#N/A</v>
      </c>
      <c r="I25" s="7">
        <f>VLOOKUP(A25,'1201-29周均耗用'!$A$1:$C$602,3,FALSE)</f>
        <v>-2.8</v>
      </c>
    </row>
    <row r="26" spans="1:9">
      <c r="A26" s="13" t="s">
        <v>57</v>
      </c>
      <c r="B26" s="14" t="s">
        <v>58</v>
      </c>
      <c r="C26" s="13">
        <v>0</v>
      </c>
      <c r="D26" s="7">
        <f>IFERROR(VLOOKUP(A26,'1227-29耗量'!$A$1:$C$602,3,FALSE),0)</f>
        <v>0</v>
      </c>
      <c r="E26" s="7">
        <f t="shared" si="0"/>
        <v>0</v>
      </c>
      <c r="F26" s="7" t="str">
        <f t="shared" si="1"/>
        <v>無資料</v>
      </c>
      <c r="G26" s="7" t="e">
        <f>VLOOKUP(A26,Sheet5!$A$2:$D$415,4,FALSE)</f>
        <v>#N/A</v>
      </c>
      <c r="H26" s="7" t="e">
        <f>VLOOKUP(A26,Sheet5!$A$2:$D$415,3,FALSE)</f>
        <v>#N/A</v>
      </c>
      <c r="I26" s="7" t="e">
        <f>VLOOKUP(A26,'1201-29周均耗用'!$A$1:$C$602,3,FALSE)</f>
        <v>#N/A</v>
      </c>
    </row>
    <row r="27" spans="1:9">
      <c r="A27" s="13" t="s">
        <v>59</v>
      </c>
      <c r="B27" s="14" t="s">
        <v>60</v>
      </c>
      <c r="C27" s="13">
        <v>27</v>
      </c>
      <c r="D27" s="7">
        <f>IFERROR(VLOOKUP(A27,'1227-29耗量'!$A$1:$C$602,3,FALSE),0)</f>
        <v>0</v>
      </c>
      <c r="E27" s="7">
        <f t="shared" si="0"/>
        <v>27</v>
      </c>
      <c r="F27" s="7" t="str">
        <f t="shared" si="1"/>
        <v>無資料</v>
      </c>
      <c r="G27" s="7" t="e">
        <f>VLOOKUP(A27,Sheet5!$A$2:$D$415,4,FALSE)</f>
        <v>#N/A</v>
      </c>
      <c r="H27" s="7" t="e">
        <f>VLOOKUP(A27,Sheet5!$A$2:$D$415,3,FALSE)</f>
        <v>#N/A</v>
      </c>
      <c r="I27" s="7" t="e">
        <f>VLOOKUP(A27,'1201-29周均耗用'!$A$1:$C$602,3,FALSE)</f>
        <v>#N/A</v>
      </c>
    </row>
    <row r="28" spans="1:9">
      <c r="A28" s="13" t="s">
        <v>61</v>
      </c>
      <c r="B28" s="14" t="s">
        <v>62</v>
      </c>
      <c r="C28" s="13">
        <v>0</v>
      </c>
      <c r="D28" s="7">
        <f>IFERROR(VLOOKUP(A28,'1227-29耗量'!$A$1:$C$602,3,FALSE),0)</f>
        <v>0</v>
      </c>
      <c r="E28" s="7">
        <f t="shared" si="0"/>
        <v>0</v>
      </c>
      <c r="F28" s="7" t="str">
        <f t="shared" si="1"/>
        <v>無資料</v>
      </c>
      <c r="G28" s="7" t="e">
        <f>VLOOKUP(A28,Sheet5!$A$2:$D$415,4,FALSE)</f>
        <v>#N/A</v>
      </c>
      <c r="H28" s="7" t="e">
        <f>VLOOKUP(A28,Sheet5!$A$2:$D$415,3,FALSE)</f>
        <v>#N/A</v>
      </c>
      <c r="I28" s="7">
        <f>VLOOKUP(A28,'1201-29周均耗用'!$A$1:$C$602,3,FALSE)</f>
        <v>0.2</v>
      </c>
    </row>
    <row r="29" spans="1:9">
      <c r="A29" s="13" t="s">
        <v>63</v>
      </c>
      <c r="B29" s="14" t="s">
        <v>64</v>
      </c>
      <c r="C29" s="13">
        <v>109</v>
      </c>
      <c r="D29" s="7">
        <f>IFERROR(VLOOKUP(A29,'1227-29耗量'!$A$1:$C$602,3,FALSE),0)</f>
        <v>24</v>
      </c>
      <c r="E29" s="7">
        <f t="shared" si="0"/>
        <v>85</v>
      </c>
      <c r="F29" s="7" t="str">
        <f t="shared" si="1"/>
        <v>無資料</v>
      </c>
      <c r="G29" s="7" t="e">
        <f>VLOOKUP(A29,Sheet5!$A$2:$D$415,4,FALSE)</f>
        <v>#N/A</v>
      </c>
      <c r="H29" s="7" t="e">
        <f>VLOOKUP(A29,Sheet5!$A$2:$D$415,3,FALSE)</f>
        <v>#N/A</v>
      </c>
      <c r="I29" s="7">
        <f>VLOOKUP(A29,'1201-29周均耗用'!$A$1:$C$602,3,FALSE)</f>
        <v>86</v>
      </c>
    </row>
    <row r="30" spans="1:9">
      <c r="A30" s="13" t="s">
        <v>65</v>
      </c>
      <c r="B30" s="14" t="s">
        <v>66</v>
      </c>
      <c r="C30" s="13">
        <v>70</v>
      </c>
      <c r="D30" s="7">
        <f>IFERROR(VLOOKUP(A30,'1227-29耗量'!$A$1:$C$602,3,FALSE),0)</f>
        <v>0</v>
      </c>
      <c r="E30" s="7">
        <f t="shared" si="0"/>
        <v>70</v>
      </c>
      <c r="F30" s="7" t="str">
        <f t="shared" si="1"/>
        <v>錯誤</v>
      </c>
      <c r="G30" s="7">
        <f>VLOOKUP(A30,Sheet5!$A$2:$D$415,4,FALSE)</f>
        <v>-3</v>
      </c>
      <c r="H30" s="7">
        <f>VLOOKUP(A30,Sheet5!$A$2:$D$415,3,FALSE)</f>
        <v>50</v>
      </c>
      <c r="I30" s="7">
        <f>VLOOKUP(A30,'1201-29周均耗用'!$A$1:$C$602,3,FALSE)</f>
        <v>9</v>
      </c>
    </row>
    <row r="31" spans="1:9">
      <c r="A31" s="13" t="s">
        <v>67</v>
      </c>
      <c r="B31" s="14" t="s">
        <v>68</v>
      </c>
      <c r="C31" s="13">
        <v>36</v>
      </c>
      <c r="D31" s="7">
        <f>VLOOKUP(A31,'1227-29耗量'!$A$1:$C$602,3,FALSE)</f>
        <v>3</v>
      </c>
      <c r="E31" s="7">
        <f t="shared" si="0"/>
        <v>33</v>
      </c>
      <c r="F31" s="7" t="str">
        <f t="shared" si="1"/>
        <v>錯誤</v>
      </c>
      <c r="G31" s="7">
        <f>VLOOKUP(A31,Sheet5!$A$2:$D$415,4,FALSE)</f>
        <v>-1</v>
      </c>
      <c r="H31" s="7">
        <f>VLOOKUP(A31,Sheet5!$A$2:$D$415,3,FALSE)</f>
        <v>50</v>
      </c>
      <c r="I31" s="7">
        <f>VLOOKUP(A31,'1201-29周均耗用'!$A$1:$C$602,3,FALSE)</f>
        <v>19.5</v>
      </c>
    </row>
    <row r="32" spans="1:9">
      <c r="A32" s="13" t="s">
        <v>69</v>
      </c>
      <c r="B32" s="14" t="s">
        <v>70</v>
      </c>
      <c r="C32" s="13">
        <v>0</v>
      </c>
      <c r="D32" s="7">
        <f>IFERROR(VLOOKUP(A32,'1227-29耗量'!$A$1:$C$602,3,FALSE),0)</f>
        <v>0</v>
      </c>
      <c r="E32" s="7">
        <f t="shared" si="0"/>
        <v>0</v>
      </c>
      <c r="F32" s="7" t="str">
        <f t="shared" si="1"/>
        <v>無資料</v>
      </c>
      <c r="G32" s="7" t="e">
        <f>VLOOKUP(A32,Sheet5!$A$2:$D$415,4,FALSE)</f>
        <v>#N/A</v>
      </c>
      <c r="H32" s="7" t="e">
        <f>VLOOKUP(A32,Sheet5!$A$2:$D$415,3,FALSE)</f>
        <v>#N/A</v>
      </c>
      <c r="I32" s="7">
        <f>VLOOKUP(A32,'1201-29周均耗用'!$A$1:$C$602,3,FALSE)</f>
        <v>3.2</v>
      </c>
    </row>
    <row r="33" spans="1:9">
      <c r="A33" s="13" t="s">
        <v>71</v>
      </c>
      <c r="B33" s="14" t="s">
        <v>72</v>
      </c>
      <c r="C33" s="13">
        <v>0</v>
      </c>
      <c r="D33" s="7">
        <f>IFERROR(VLOOKUP(A33,'1227-29耗量'!$A$1:$C$602,3,FALSE),0)</f>
        <v>0</v>
      </c>
      <c r="E33" s="7">
        <f t="shared" si="0"/>
        <v>0</v>
      </c>
      <c r="F33" s="7" t="str">
        <f t="shared" si="1"/>
        <v>無資料</v>
      </c>
      <c r="G33" s="7" t="e">
        <f>VLOOKUP(A33,Sheet5!$A$2:$D$415,4,FALSE)</f>
        <v>#N/A</v>
      </c>
      <c r="H33" s="7" t="e">
        <f>VLOOKUP(A33,Sheet5!$A$2:$D$415,3,FALSE)</f>
        <v>#N/A</v>
      </c>
      <c r="I33" s="7" t="e">
        <f>VLOOKUP(A33,'1201-29周均耗用'!$A$1:$C$602,3,FALSE)</f>
        <v>#N/A</v>
      </c>
    </row>
    <row r="34" spans="1:9">
      <c r="A34" s="13" t="s">
        <v>73</v>
      </c>
      <c r="B34" s="14" t="s">
        <v>74</v>
      </c>
      <c r="C34" s="13">
        <v>13</v>
      </c>
      <c r="D34" s="7">
        <f>IFERROR(VLOOKUP(A34,'1227-29耗量'!$A$1:$C$602,3,FALSE),0)</f>
        <v>0</v>
      </c>
      <c r="E34" s="7">
        <f t="shared" si="0"/>
        <v>13</v>
      </c>
      <c r="F34" s="7" t="str">
        <f t="shared" si="1"/>
        <v>無資料</v>
      </c>
      <c r="G34" s="7" t="e">
        <f>VLOOKUP(A34,Sheet5!$A$2:$D$415,4,FALSE)</f>
        <v>#N/A</v>
      </c>
      <c r="H34" s="7" t="e">
        <f>VLOOKUP(A34,Sheet5!$A$2:$D$415,3,FALSE)</f>
        <v>#N/A</v>
      </c>
      <c r="I34" s="7">
        <f>VLOOKUP(A34,'1201-29周均耗用'!$A$1:$C$602,3,FALSE)</f>
        <v>2</v>
      </c>
    </row>
    <row r="35" spans="1:9">
      <c r="A35" s="13" t="s">
        <v>75</v>
      </c>
      <c r="B35" s="14" t="s">
        <v>76</v>
      </c>
      <c r="C35" s="13">
        <v>4</v>
      </c>
      <c r="D35" s="7">
        <f>IFERROR(VLOOKUP(A35,'1227-29耗量'!$A$1:$C$602,3,FALSE),0)</f>
        <v>0</v>
      </c>
      <c r="E35" s="7">
        <f t="shared" si="0"/>
        <v>4</v>
      </c>
      <c r="F35" s="7" t="str">
        <f t="shared" si="1"/>
        <v>無資料</v>
      </c>
      <c r="G35" s="7" t="e">
        <f>VLOOKUP(A35,Sheet5!$A$2:$D$415,4,FALSE)</f>
        <v>#N/A</v>
      </c>
      <c r="H35" s="7" t="e">
        <f>VLOOKUP(A35,Sheet5!$A$2:$D$415,3,FALSE)</f>
        <v>#N/A</v>
      </c>
      <c r="I35" s="7">
        <f>VLOOKUP(A35,'1201-29周均耗用'!$A$1:$C$602,3,FALSE)</f>
        <v>0.2</v>
      </c>
    </row>
    <row r="36" spans="1:9">
      <c r="A36" s="13" t="s">
        <v>77</v>
      </c>
      <c r="B36" s="14" t="s">
        <v>78</v>
      </c>
      <c r="C36" s="13">
        <v>125</v>
      </c>
      <c r="D36" s="7">
        <f>IFERROR(VLOOKUP(A36,'1227-29耗量'!$A$1:$C$602,3,FALSE),0)</f>
        <v>1</v>
      </c>
      <c r="E36" s="7">
        <f t="shared" si="0"/>
        <v>124</v>
      </c>
      <c r="F36" s="7" t="str">
        <f t="shared" si="1"/>
        <v>無資料</v>
      </c>
      <c r="G36" s="7" t="e">
        <f>VLOOKUP(A36,Sheet5!$A$2:$D$415,4,FALSE)</f>
        <v>#N/A</v>
      </c>
      <c r="H36" s="7" t="e">
        <f>VLOOKUP(A36,Sheet5!$A$2:$D$415,3,FALSE)</f>
        <v>#N/A</v>
      </c>
      <c r="I36" s="7">
        <f>VLOOKUP(A36,'1201-29周均耗用'!$A$1:$C$602,3,FALSE)</f>
        <v>3.5</v>
      </c>
    </row>
    <row r="37" spans="1:9">
      <c r="A37" s="13" t="s">
        <v>79</v>
      </c>
      <c r="B37" s="14" t="s">
        <v>80</v>
      </c>
      <c r="C37" s="13">
        <v>96</v>
      </c>
      <c r="D37" s="7">
        <f>IFERROR(VLOOKUP(A37,'1227-29耗量'!$A$1:$C$602,3,FALSE),0)</f>
        <v>0</v>
      </c>
      <c r="E37" s="7">
        <f t="shared" si="0"/>
        <v>96</v>
      </c>
      <c r="F37" s="7" t="str">
        <f t="shared" si="1"/>
        <v>無資料</v>
      </c>
      <c r="G37" s="7" t="e">
        <f>VLOOKUP(A37,Sheet5!$A$2:$D$415,4,FALSE)</f>
        <v>#N/A</v>
      </c>
      <c r="H37" s="7" t="e">
        <f>VLOOKUP(A37,Sheet5!$A$2:$D$415,3,FALSE)</f>
        <v>#N/A</v>
      </c>
      <c r="I37" s="7" t="e">
        <f>VLOOKUP(A37,'1201-29周均耗用'!$A$1:$C$602,3,FALSE)</f>
        <v>#N/A</v>
      </c>
    </row>
    <row r="38" spans="1:9">
      <c r="A38" s="13" t="s">
        <v>81</v>
      </c>
      <c r="B38" s="14" t="s">
        <v>82</v>
      </c>
      <c r="C38" s="13">
        <v>3</v>
      </c>
      <c r="D38" s="7">
        <f>IFERROR(VLOOKUP(A38,'1227-29耗量'!$A$1:$C$602,3,FALSE),0)</f>
        <v>0</v>
      </c>
      <c r="E38" s="7">
        <f t="shared" si="0"/>
        <v>3</v>
      </c>
      <c r="F38" s="7" t="str">
        <f t="shared" si="1"/>
        <v>無資料</v>
      </c>
      <c r="G38" s="7" t="e">
        <f>VLOOKUP(A38,Sheet5!$A$2:$D$415,4,FALSE)</f>
        <v>#N/A</v>
      </c>
      <c r="H38" s="7" t="e">
        <f>VLOOKUP(A38,Sheet5!$A$2:$D$415,3,FALSE)</f>
        <v>#N/A</v>
      </c>
      <c r="I38" s="7" t="e">
        <f>VLOOKUP(A38,'1201-29周均耗用'!$A$1:$C$602,3,FALSE)</f>
        <v>#N/A</v>
      </c>
    </row>
    <row r="39" spans="1:9">
      <c r="A39" s="13" t="s">
        <v>83</v>
      </c>
      <c r="B39" s="14" t="s">
        <v>84</v>
      </c>
      <c r="C39" s="13">
        <v>0</v>
      </c>
      <c r="D39" s="7">
        <f>IFERROR(VLOOKUP(A39,'1227-29耗量'!$A$1:$C$602,3,FALSE),0)</f>
        <v>0</v>
      </c>
      <c r="E39" s="7">
        <f t="shared" si="0"/>
        <v>0</v>
      </c>
      <c r="F39" s="7" t="str">
        <f t="shared" si="1"/>
        <v>無資料</v>
      </c>
      <c r="G39" s="7" t="e">
        <f>VLOOKUP(A39,Sheet5!$A$2:$D$415,4,FALSE)</f>
        <v>#N/A</v>
      </c>
      <c r="H39" s="7" t="e">
        <f>VLOOKUP(A39,Sheet5!$A$2:$D$415,3,FALSE)</f>
        <v>#N/A</v>
      </c>
      <c r="I39" s="7" t="e">
        <f>VLOOKUP(A39,'1201-29周均耗用'!$A$1:$C$602,3,FALSE)</f>
        <v>#N/A</v>
      </c>
    </row>
    <row r="40" spans="1:9">
      <c r="A40" s="13" t="s">
        <v>85</v>
      </c>
      <c r="B40" s="14" t="s">
        <v>86</v>
      </c>
      <c r="C40" s="13">
        <v>97</v>
      </c>
      <c r="D40" s="7">
        <f>IFERROR(VLOOKUP(A40,'1227-29耗量'!$A$1:$C$602,3,FALSE),0)</f>
        <v>12</v>
      </c>
      <c r="E40" s="7">
        <f t="shared" si="0"/>
        <v>85</v>
      </c>
      <c r="F40" s="7" t="str">
        <f t="shared" si="1"/>
        <v>無資料</v>
      </c>
      <c r="G40" s="7" t="e">
        <f>VLOOKUP(A40,Sheet5!$A$2:$D$415,4,FALSE)</f>
        <v>#N/A</v>
      </c>
      <c r="H40" s="7" t="e">
        <f>VLOOKUP(A40,Sheet5!$A$2:$D$415,3,FALSE)</f>
        <v>#N/A</v>
      </c>
      <c r="I40" s="7">
        <f>VLOOKUP(A40,'1201-29周均耗用'!$A$1:$C$602,3,FALSE)</f>
        <v>26</v>
      </c>
    </row>
    <row r="41" spans="1:9">
      <c r="A41" s="13" t="s">
        <v>87</v>
      </c>
      <c r="B41" s="14" t="s">
        <v>88</v>
      </c>
      <c r="C41" s="13">
        <v>22</v>
      </c>
      <c r="D41" s="7">
        <f>VLOOKUP(A41,'1227-29耗量'!$A$1:$C$602,3,FALSE)</f>
        <v>7</v>
      </c>
      <c r="E41" s="7">
        <f t="shared" si="0"/>
        <v>15</v>
      </c>
      <c r="F41" s="7" t="str">
        <f t="shared" si="1"/>
        <v>錯誤</v>
      </c>
      <c r="G41" s="7">
        <f>VLOOKUP(A41,Sheet5!$A$2:$D$415,4,FALSE)</f>
        <v>12</v>
      </c>
      <c r="H41" s="7">
        <f>VLOOKUP(A41,Sheet5!$A$2:$D$415,3,FALSE)</f>
        <v>60</v>
      </c>
      <c r="I41" s="7">
        <f>VLOOKUP(A41,'1201-29周均耗用'!$A$1:$C$602,3,FALSE)</f>
        <v>16</v>
      </c>
    </row>
    <row r="42" spans="1:9">
      <c r="A42" s="13" t="s">
        <v>89</v>
      </c>
      <c r="B42" s="14" t="s">
        <v>90</v>
      </c>
      <c r="C42" s="13">
        <v>246</v>
      </c>
      <c r="D42" s="7">
        <f>VLOOKUP(A42,'1227-29耗量'!$A$1:$C$602,3,FALSE)</f>
        <v>21</v>
      </c>
      <c r="E42" s="7">
        <f t="shared" si="0"/>
        <v>225</v>
      </c>
      <c r="F42" s="7" t="str">
        <f t="shared" si="1"/>
        <v>錯誤</v>
      </c>
      <c r="G42" s="7">
        <f>VLOOKUP(A42,Sheet5!$A$2:$D$415,4,FALSE)</f>
        <v>149</v>
      </c>
      <c r="H42" s="7">
        <f>VLOOKUP(A42,Sheet5!$A$2:$D$415,3,FALSE)</f>
        <v>200</v>
      </c>
      <c r="I42" s="7" t="e">
        <f>VLOOKUP(A42,'1201-29周均耗用'!$A$1:$C$602,3,FALSE)</f>
        <v>#N/A</v>
      </c>
    </row>
    <row r="43" spans="1:9">
      <c r="A43" s="13" t="s">
        <v>91</v>
      </c>
      <c r="B43" s="14" t="s">
        <v>92</v>
      </c>
      <c r="C43" s="13">
        <v>0</v>
      </c>
      <c r="D43" s="7">
        <f>IFERROR(VLOOKUP(A43,'1227-29耗量'!$A$1:$C$602,3,FALSE),0)</f>
        <v>0</v>
      </c>
      <c r="E43" s="7">
        <f t="shared" si="0"/>
        <v>0</v>
      </c>
      <c r="F43" s="7" t="str">
        <f t="shared" si="1"/>
        <v>無資料</v>
      </c>
      <c r="G43" s="7" t="e">
        <f>VLOOKUP(A43,Sheet5!$A$2:$D$415,4,FALSE)</f>
        <v>#N/A</v>
      </c>
      <c r="H43" s="7" t="e">
        <f>VLOOKUP(A43,Sheet5!$A$2:$D$415,3,FALSE)</f>
        <v>#N/A</v>
      </c>
      <c r="I43" s="7" t="e">
        <f>VLOOKUP(A43,'1201-29周均耗用'!$A$1:$C$602,3,FALSE)</f>
        <v>#N/A</v>
      </c>
    </row>
    <row r="44" spans="1:9">
      <c r="A44" s="13" t="s">
        <v>93</v>
      </c>
      <c r="B44" s="14" t="s">
        <v>94</v>
      </c>
      <c r="C44" s="13">
        <v>33</v>
      </c>
      <c r="D44" s="7">
        <f>IFERROR(VLOOKUP(A44,'1227-29耗量'!$A$1:$C$602,3,FALSE),0)</f>
        <v>2</v>
      </c>
      <c r="E44" s="7">
        <f t="shared" si="0"/>
        <v>31</v>
      </c>
      <c r="F44" s="7" t="str">
        <f t="shared" si="1"/>
        <v>無資料</v>
      </c>
      <c r="G44" s="7" t="e">
        <f>VLOOKUP(A44,Sheet5!$A$2:$D$415,4,FALSE)</f>
        <v>#N/A</v>
      </c>
      <c r="H44" s="7" t="e">
        <f>VLOOKUP(A44,Sheet5!$A$2:$D$415,3,FALSE)</f>
        <v>#N/A</v>
      </c>
      <c r="I44" s="7" t="e">
        <f>VLOOKUP(A44,'1201-29周均耗用'!$A$1:$C$602,3,FALSE)</f>
        <v>#N/A</v>
      </c>
    </row>
    <row r="45" spans="1:9">
      <c r="A45" s="13" t="s">
        <v>95</v>
      </c>
      <c r="B45" s="14" t="s">
        <v>96</v>
      </c>
      <c r="C45" s="13">
        <v>1</v>
      </c>
      <c r="D45" s="7">
        <f>IFERROR(VLOOKUP(A45,'1227-29耗量'!$A$1:$C$602,3,FALSE),0)</f>
        <v>0</v>
      </c>
      <c r="E45" s="7">
        <f t="shared" si="0"/>
        <v>1</v>
      </c>
      <c r="F45" s="7" t="str">
        <f t="shared" si="1"/>
        <v>無資料</v>
      </c>
      <c r="G45" s="7" t="e">
        <f>VLOOKUP(A45,Sheet5!$A$2:$D$415,4,FALSE)</f>
        <v>#N/A</v>
      </c>
      <c r="H45" s="7" t="e">
        <f>VLOOKUP(A45,Sheet5!$A$2:$D$415,3,FALSE)</f>
        <v>#N/A</v>
      </c>
      <c r="I45" s="7" t="e">
        <f>VLOOKUP(A45,'1201-29周均耗用'!$A$1:$C$602,3,FALSE)</f>
        <v>#N/A</v>
      </c>
    </row>
    <row r="46" spans="1:9">
      <c r="A46" s="13" t="s">
        <v>97</v>
      </c>
      <c r="B46" s="14" t="s">
        <v>98</v>
      </c>
      <c r="C46" s="13">
        <v>39</v>
      </c>
      <c r="D46" s="7">
        <f>IFERROR(VLOOKUP(A46,'1227-29耗量'!$A$1:$C$602,3,FALSE),0)</f>
        <v>5</v>
      </c>
      <c r="E46" s="7">
        <f t="shared" si="0"/>
        <v>34</v>
      </c>
      <c r="F46" s="7" t="str">
        <f t="shared" si="1"/>
        <v>無資料</v>
      </c>
      <c r="G46" s="7" t="e">
        <f>VLOOKUP(A46,Sheet5!$A$2:$D$415,4,FALSE)</f>
        <v>#N/A</v>
      </c>
      <c r="H46" s="7" t="e">
        <f>VLOOKUP(A46,Sheet5!$A$2:$D$415,3,FALSE)</f>
        <v>#N/A</v>
      </c>
      <c r="I46" s="7" t="e">
        <f>VLOOKUP(A46,'1201-29周均耗用'!$A$1:$C$602,3,FALSE)</f>
        <v>#N/A</v>
      </c>
    </row>
    <row r="47" spans="1:9">
      <c r="A47" s="13" t="s">
        <v>99</v>
      </c>
      <c r="B47" s="14" t="s">
        <v>100</v>
      </c>
      <c r="C47" s="13">
        <v>2</v>
      </c>
      <c r="D47" s="7">
        <f>IFERROR(VLOOKUP(A47,'1227-29耗量'!$A$1:$C$602,3,FALSE),0)</f>
        <v>0</v>
      </c>
      <c r="E47" s="7">
        <f t="shared" si="0"/>
        <v>2</v>
      </c>
      <c r="F47" s="7" t="str">
        <f t="shared" si="1"/>
        <v>無資料</v>
      </c>
      <c r="G47" s="7" t="e">
        <f>VLOOKUP(A47,Sheet5!$A$2:$D$415,4,FALSE)</f>
        <v>#N/A</v>
      </c>
      <c r="H47" s="7" t="e">
        <f>VLOOKUP(A47,Sheet5!$A$2:$D$415,3,FALSE)</f>
        <v>#N/A</v>
      </c>
      <c r="I47" s="7" t="e">
        <f>VLOOKUP(A47,'1201-29周均耗用'!$A$1:$C$602,3,FALSE)</f>
        <v>#N/A</v>
      </c>
    </row>
    <row r="48" spans="1:9">
      <c r="A48" s="13" t="s">
        <v>101</v>
      </c>
      <c r="B48" s="14" t="s">
        <v>102</v>
      </c>
      <c r="C48" s="13">
        <v>0</v>
      </c>
      <c r="D48" s="7">
        <f>IFERROR(VLOOKUP(A48,'1227-29耗量'!$A$1:$C$602,3,FALSE),0)</f>
        <v>2</v>
      </c>
      <c r="E48" s="7">
        <f t="shared" si="0"/>
        <v>-2</v>
      </c>
      <c r="F48" s="7" t="str">
        <f t="shared" si="1"/>
        <v>無資料</v>
      </c>
      <c r="G48" s="7" t="e">
        <f>VLOOKUP(A48,Sheet5!$A$2:$D$415,4,FALSE)</f>
        <v>#N/A</v>
      </c>
      <c r="H48" s="7" t="e">
        <f>VLOOKUP(A48,Sheet5!$A$2:$D$415,3,FALSE)</f>
        <v>#N/A</v>
      </c>
      <c r="I48" s="7" t="e">
        <f>VLOOKUP(A48,'1201-29周均耗用'!$A$1:$C$602,3,FALSE)</f>
        <v>#N/A</v>
      </c>
    </row>
    <row r="49" spans="1:9">
      <c r="A49" s="13" t="s">
        <v>103</v>
      </c>
      <c r="B49" s="14" t="s">
        <v>104</v>
      </c>
      <c r="C49" s="13">
        <v>38</v>
      </c>
      <c r="D49" s="7">
        <f>IFERROR(VLOOKUP(A49,'1227-29耗量'!$A$1:$C$602,3,FALSE),0)</f>
        <v>0</v>
      </c>
      <c r="E49" s="7">
        <f t="shared" si="0"/>
        <v>38</v>
      </c>
      <c r="F49" s="7" t="str">
        <f t="shared" si="1"/>
        <v>無資料</v>
      </c>
      <c r="G49" s="7" t="e">
        <f>VLOOKUP(A49,Sheet5!$A$2:$D$415,4,FALSE)</f>
        <v>#N/A</v>
      </c>
      <c r="H49" s="7" t="e">
        <f>VLOOKUP(A49,Sheet5!$A$2:$D$415,3,FALSE)</f>
        <v>#N/A</v>
      </c>
      <c r="I49" s="7" t="e">
        <f>VLOOKUP(A49,'1201-29周均耗用'!$A$1:$C$602,3,FALSE)</f>
        <v>#N/A</v>
      </c>
    </row>
    <row r="50" spans="1:9">
      <c r="A50" s="13" t="s">
        <v>105</v>
      </c>
      <c r="B50" s="14" t="s">
        <v>106</v>
      </c>
      <c r="C50" s="13">
        <v>0</v>
      </c>
      <c r="D50" s="7">
        <f>IFERROR(VLOOKUP(A50,'1227-29耗量'!$A$1:$C$602,3,FALSE),0)</f>
        <v>0</v>
      </c>
      <c r="E50" s="7">
        <f t="shared" si="0"/>
        <v>0</v>
      </c>
      <c r="F50" s="7" t="str">
        <f t="shared" si="1"/>
        <v>無資料</v>
      </c>
      <c r="G50" s="7" t="e">
        <f>VLOOKUP(A50,Sheet5!$A$2:$D$415,4,FALSE)</f>
        <v>#N/A</v>
      </c>
      <c r="H50" s="7" t="e">
        <f>VLOOKUP(A50,Sheet5!$A$2:$D$415,3,FALSE)</f>
        <v>#N/A</v>
      </c>
      <c r="I50" s="7" t="e">
        <f>VLOOKUP(A50,'1201-29周均耗用'!$A$1:$C$602,3,FALSE)</f>
        <v>#N/A</v>
      </c>
    </row>
    <row r="51" spans="1:9">
      <c r="A51" s="13" t="s">
        <v>107</v>
      </c>
      <c r="B51" s="14" t="s">
        <v>108</v>
      </c>
      <c r="C51" s="13">
        <v>18</v>
      </c>
      <c r="D51" s="7">
        <f>IFERROR(VLOOKUP(A51,'1227-29耗量'!$A$1:$C$602,3,FALSE),0)</f>
        <v>0</v>
      </c>
      <c r="E51" s="7">
        <f t="shared" si="0"/>
        <v>18</v>
      </c>
      <c r="F51" s="7" t="str">
        <f t="shared" si="1"/>
        <v>無資料</v>
      </c>
      <c r="G51" s="7" t="e">
        <f>VLOOKUP(A51,Sheet5!$A$2:$D$415,4,FALSE)</f>
        <v>#N/A</v>
      </c>
      <c r="H51" s="7" t="e">
        <f>VLOOKUP(A51,Sheet5!$A$2:$D$415,3,FALSE)</f>
        <v>#N/A</v>
      </c>
      <c r="I51" s="7">
        <f>VLOOKUP(A51,'1201-29周均耗用'!$A$1:$C$602,3,FALSE)</f>
        <v>0.5</v>
      </c>
    </row>
    <row r="52" spans="1:9">
      <c r="A52" s="13" t="s">
        <v>109</v>
      </c>
      <c r="B52" s="14" t="s">
        <v>110</v>
      </c>
      <c r="C52" s="13">
        <v>0</v>
      </c>
      <c r="D52" s="7">
        <f>IFERROR(VLOOKUP(A52,'1227-29耗量'!$A$1:$C$602,3,FALSE),0)</f>
        <v>0</v>
      </c>
      <c r="E52" s="7">
        <f t="shared" si="0"/>
        <v>0</v>
      </c>
      <c r="F52" s="7" t="str">
        <f t="shared" si="1"/>
        <v>無資料</v>
      </c>
      <c r="G52" s="7" t="e">
        <f>VLOOKUP(A52,Sheet5!$A$2:$D$415,4,FALSE)</f>
        <v>#N/A</v>
      </c>
      <c r="H52" s="7" t="e">
        <f>VLOOKUP(A52,Sheet5!$A$2:$D$415,3,FALSE)</f>
        <v>#N/A</v>
      </c>
      <c r="I52" s="7" t="e">
        <f>VLOOKUP(A52,'1201-29周均耗用'!$A$1:$C$602,3,FALSE)</f>
        <v>#N/A</v>
      </c>
    </row>
    <row r="53" spans="1:9">
      <c r="A53" s="13" t="s">
        <v>111</v>
      </c>
      <c r="B53" s="14" t="s">
        <v>112</v>
      </c>
      <c r="C53" s="13">
        <v>1423</v>
      </c>
      <c r="D53" s="7">
        <f>VLOOKUP(A53,'1227-29耗量'!$A$1:$C$602,3,FALSE)</f>
        <v>51</v>
      </c>
      <c r="E53" s="7">
        <f t="shared" si="0"/>
        <v>1372</v>
      </c>
      <c r="F53" s="7" t="str">
        <f t="shared" si="1"/>
        <v>錯誤</v>
      </c>
      <c r="G53" s="7">
        <f>VLOOKUP(A53,Sheet5!$A$2:$D$415,4,FALSE)</f>
        <v>339</v>
      </c>
      <c r="H53" s="7">
        <f>VLOOKUP(A53,Sheet5!$A$2:$D$415,3,FALSE)</f>
        <v>1680</v>
      </c>
      <c r="I53" s="7">
        <f>VLOOKUP(A53,'1201-29周均耗用'!$A$1:$C$602,3,FALSE)</f>
        <v>348.5</v>
      </c>
    </row>
    <row r="54" spans="1:9">
      <c r="A54" s="13" t="s">
        <v>113</v>
      </c>
      <c r="B54" s="14" t="s">
        <v>114</v>
      </c>
      <c r="C54" s="13">
        <v>41</v>
      </c>
      <c r="D54" s="7">
        <f>IFERROR(VLOOKUP(A54,'1227-29耗量'!$A$1:$C$602,3,FALSE),0)</f>
        <v>2</v>
      </c>
      <c r="E54" s="7">
        <f t="shared" si="0"/>
        <v>39</v>
      </c>
      <c r="F54" s="7" t="str">
        <f t="shared" si="1"/>
        <v>無資料</v>
      </c>
      <c r="G54" s="7" t="e">
        <f>VLOOKUP(A54,Sheet5!$A$2:$D$415,4,FALSE)</f>
        <v>#N/A</v>
      </c>
      <c r="H54" s="7" t="e">
        <f>VLOOKUP(A54,Sheet5!$A$2:$D$415,3,FALSE)</f>
        <v>#N/A</v>
      </c>
      <c r="I54" s="7" t="e">
        <f>VLOOKUP(A54,'1201-29周均耗用'!$A$1:$C$602,3,FALSE)</f>
        <v>#N/A</v>
      </c>
    </row>
    <row r="55" spans="1:9">
      <c r="A55" s="13" t="s">
        <v>115</v>
      </c>
      <c r="B55" s="14" t="s">
        <v>116</v>
      </c>
      <c r="C55" s="13">
        <v>0</v>
      </c>
      <c r="D55" s="7">
        <f>IFERROR(VLOOKUP(A55,'1227-29耗量'!$A$1:$C$602,3,FALSE),0)</f>
        <v>0</v>
      </c>
      <c r="E55" s="7">
        <f t="shared" si="0"/>
        <v>0</v>
      </c>
      <c r="F55" s="7" t="str">
        <f t="shared" si="1"/>
        <v>無資料</v>
      </c>
      <c r="G55" s="7" t="e">
        <f>VLOOKUP(A55,Sheet5!$A$2:$D$415,4,FALSE)</f>
        <v>#N/A</v>
      </c>
      <c r="H55" s="7" t="e">
        <f>VLOOKUP(A55,Sheet5!$A$2:$D$415,3,FALSE)</f>
        <v>#N/A</v>
      </c>
      <c r="I55" s="7" t="e">
        <f>VLOOKUP(A55,'1201-29周均耗用'!$A$1:$C$602,3,FALSE)</f>
        <v>#N/A</v>
      </c>
    </row>
    <row r="56" spans="1:9">
      <c r="A56" s="13" t="s">
        <v>117</v>
      </c>
      <c r="B56" s="14" t="s">
        <v>118</v>
      </c>
      <c r="C56" s="13">
        <v>1036</v>
      </c>
      <c r="D56" s="7">
        <f>VLOOKUP(A56,'1227-29耗量'!$A$1:$C$602,3,FALSE)</f>
        <v>105</v>
      </c>
      <c r="E56" s="7">
        <f t="shared" si="0"/>
        <v>931</v>
      </c>
      <c r="F56" s="7" t="str">
        <f t="shared" si="1"/>
        <v>錯誤</v>
      </c>
      <c r="G56" s="7">
        <f>VLOOKUP(A56,Sheet5!$A$2:$D$415,4,FALSE)</f>
        <v>650</v>
      </c>
      <c r="H56" s="7">
        <f>VLOOKUP(A56,Sheet5!$A$2:$D$415,3,FALSE)</f>
        <v>1200</v>
      </c>
      <c r="I56" s="7">
        <f>VLOOKUP(A56,'1201-29周均耗用'!$A$1:$C$602,3,FALSE)</f>
        <v>532</v>
      </c>
    </row>
    <row r="57" spans="1:9">
      <c r="A57" s="13" t="s">
        <v>119</v>
      </c>
      <c r="B57" s="14" t="s">
        <v>120</v>
      </c>
      <c r="C57" s="13">
        <v>0</v>
      </c>
      <c r="D57" s="7">
        <f>IFERROR(VLOOKUP(A57,'1227-29耗量'!$A$1:$C$602,3,FALSE),0)</f>
        <v>0</v>
      </c>
      <c r="E57" s="7">
        <f t="shared" si="0"/>
        <v>0</v>
      </c>
      <c r="F57" s="7" t="str">
        <f t="shared" si="1"/>
        <v>無資料</v>
      </c>
      <c r="G57" s="7" t="e">
        <f>VLOOKUP(A57,Sheet5!$A$2:$D$415,4,FALSE)</f>
        <v>#N/A</v>
      </c>
      <c r="H57" s="7" t="e">
        <f>VLOOKUP(A57,Sheet5!$A$2:$D$415,3,FALSE)</f>
        <v>#N/A</v>
      </c>
      <c r="I57" s="7" t="e">
        <f>VLOOKUP(A57,'1201-29周均耗用'!$A$1:$C$602,3,FALSE)</f>
        <v>#N/A</v>
      </c>
    </row>
    <row r="58" spans="1:9">
      <c r="A58" s="13" t="s">
        <v>121</v>
      </c>
      <c r="B58" s="14" t="s">
        <v>122</v>
      </c>
      <c r="C58" s="13">
        <v>32</v>
      </c>
      <c r="D58" s="7">
        <f>IFERROR(VLOOKUP(A58,'1227-29耗量'!$A$1:$C$602,3,FALSE),0)</f>
        <v>0</v>
      </c>
      <c r="E58" s="7">
        <f t="shared" si="0"/>
        <v>32</v>
      </c>
      <c r="F58" s="7" t="str">
        <f t="shared" si="1"/>
        <v>無資料</v>
      </c>
      <c r="G58" s="7" t="e">
        <f>VLOOKUP(A58,Sheet5!$A$2:$D$415,4,FALSE)</f>
        <v>#N/A</v>
      </c>
      <c r="H58" s="7" t="e">
        <f>VLOOKUP(A58,Sheet5!$A$2:$D$415,3,FALSE)</f>
        <v>#N/A</v>
      </c>
      <c r="I58" s="7" t="e">
        <f>VLOOKUP(A58,'1201-29周均耗用'!$A$1:$C$602,3,FALSE)</f>
        <v>#N/A</v>
      </c>
    </row>
    <row r="59" spans="1:9">
      <c r="A59" s="13" t="s">
        <v>123</v>
      </c>
      <c r="B59" s="14" t="s">
        <v>124</v>
      </c>
      <c r="C59" s="13">
        <v>1349</v>
      </c>
      <c r="D59" s="7">
        <f>VLOOKUP(A59,'1227-29耗量'!$A$1:$C$602,3,FALSE)</f>
        <v>87</v>
      </c>
      <c r="E59" s="7">
        <f t="shared" si="0"/>
        <v>1262</v>
      </c>
      <c r="F59" s="7" t="str">
        <f t="shared" si="1"/>
        <v>錯誤</v>
      </c>
      <c r="G59" s="7">
        <f>VLOOKUP(A59,Sheet5!$A$2:$D$415,4,FALSE)</f>
        <v>952</v>
      </c>
      <c r="H59" s="7">
        <f>VLOOKUP(A59,Sheet5!$A$2:$D$415,3,FALSE)</f>
        <v>2400</v>
      </c>
      <c r="I59" s="7">
        <f>VLOOKUP(A59,'1201-29周均耗用'!$A$1:$C$602,3,FALSE)</f>
        <v>633.8</v>
      </c>
    </row>
    <row r="60" spans="1:9">
      <c r="A60" s="13" t="s">
        <v>125</v>
      </c>
      <c r="B60" s="14" t="s">
        <v>126</v>
      </c>
      <c r="C60" s="13">
        <v>66</v>
      </c>
      <c r="D60" s="7">
        <f>VLOOKUP(A60,'1227-29耗量'!$A$1:$C$602,3,FALSE)</f>
        <v>5</v>
      </c>
      <c r="E60" s="7">
        <f t="shared" si="0"/>
        <v>61</v>
      </c>
      <c r="F60" s="7" t="str">
        <f t="shared" si="1"/>
        <v>錯誤</v>
      </c>
      <c r="G60" s="7">
        <f>VLOOKUP(A60,Sheet5!$A$2:$D$415,4,FALSE)</f>
        <v>30</v>
      </c>
      <c r="H60" s="7">
        <f>VLOOKUP(A60,Sheet5!$A$2:$D$415,3,FALSE)</f>
        <v>90</v>
      </c>
      <c r="I60" s="7">
        <f>VLOOKUP(A60,'1201-29周均耗用'!$A$1:$C$602,3,FALSE)</f>
        <v>21.5</v>
      </c>
    </row>
    <row r="61" spans="1:9">
      <c r="A61" s="13" t="s">
        <v>127</v>
      </c>
      <c r="B61" s="14" t="s">
        <v>128</v>
      </c>
      <c r="C61" s="13">
        <v>10</v>
      </c>
      <c r="D61" s="7">
        <f>IFERROR(VLOOKUP(A61,'1227-29耗量'!$A$1:$C$602,3,FALSE),0)</f>
        <v>0</v>
      </c>
      <c r="E61" s="7">
        <f t="shared" si="0"/>
        <v>10</v>
      </c>
      <c r="F61" s="7" t="str">
        <f t="shared" si="1"/>
        <v>無資料</v>
      </c>
      <c r="G61" s="7" t="e">
        <f>VLOOKUP(A61,Sheet5!$A$2:$D$415,4,FALSE)</f>
        <v>#N/A</v>
      </c>
      <c r="H61" s="7" t="e">
        <f>VLOOKUP(A61,Sheet5!$A$2:$D$415,3,FALSE)</f>
        <v>#N/A</v>
      </c>
      <c r="I61" s="7" t="e">
        <f>VLOOKUP(A61,'1201-29周均耗用'!$A$1:$C$602,3,FALSE)</f>
        <v>#N/A</v>
      </c>
    </row>
    <row r="62" spans="1:9">
      <c r="A62" s="13" t="s">
        <v>129</v>
      </c>
      <c r="B62" s="14" t="s">
        <v>130</v>
      </c>
      <c r="C62" s="13">
        <v>53</v>
      </c>
      <c r="D62" s="7">
        <f>IFERROR(VLOOKUP(A62,'1227-29耗量'!$A$1:$C$602,3,FALSE),0)</f>
        <v>0</v>
      </c>
      <c r="E62" s="7">
        <f t="shared" si="0"/>
        <v>53</v>
      </c>
      <c r="F62" s="7" t="str">
        <f t="shared" si="1"/>
        <v>無資料</v>
      </c>
      <c r="G62" s="7" t="e">
        <f>VLOOKUP(A62,Sheet5!$A$2:$D$415,4,FALSE)</f>
        <v>#N/A</v>
      </c>
      <c r="H62" s="7" t="e">
        <f>VLOOKUP(A62,Sheet5!$A$2:$D$415,3,FALSE)</f>
        <v>#N/A</v>
      </c>
      <c r="I62" s="7">
        <f>VLOOKUP(A62,'1201-29周均耗用'!$A$1:$C$602,3,FALSE)</f>
        <v>36.2</v>
      </c>
    </row>
    <row r="63" spans="1:9">
      <c r="A63" s="13" t="s">
        <v>131</v>
      </c>
      <c r="B63" s="14" t="s">
        <v>132</v>
      </c>
      <c r="C63" s="13">
        <v>0</v>
      </c>
      <c r="D63" s="7">
        <f>IFERROR(VLOOKUP(A63,'1227-29耗量'!$A$1:$C$602,3,FALSE),0)</f>
        <v>0</v>
      </c>
      <c r="E63" s="7">
        <f t="shared" si="0"/>
        <v>0</v>
      </c>
      <c r="F63" s="7" t="str">
        <f t="shared" si="1"/>
        <v>無資料</v>
      </c>
      <c r="G63" s="7" t="e">
        <f>VLOOKUP(A63,Sheet5!$A$2:$D$415,4,FALSE)</f>
        <v>#N/A</v>
      </c>
      <c r="H63" s="7" t="e">
        <f>VLOOKUP(A63,Sheet5!$A$2:$D$415,3,FALSE)</f>
        <v>#N/A</v>
      </c>
      <c r="I63" s="7">
        <f>VLOOKUP(A63,'1201-29周均耗用'!$A$1:$C$602,3,FALSE)</f>
        <v>0.5</v>
      </c>
    </row>
    <row r="64" spans="1:9">
      <c r="A64" s="13" t="s">
        <v>133</v>
      </c>
      <c r="B64" s="14" t="s">
        <v>134</v>
      </c>
      <c r="C64" s="13">
        <v>894</v>
      </c>
      <c r="D64" s="7">
        <f>VLOOKUP(A64,'1227-29耗量'!$A$1:$C$602,3,FALSE)</f>
        <v>41</v>
      </c>
      <c r="E64" s="7">
        <f t="shared" si="0"/>
        <v>853</v>
      </c>
      <c r="F64" s="7" t="str">
        <f t="shared" si="1"/>
        <v>錯誤</v>
      </c>
      <c r="G64" s="7">
        <f>VLOOKUP(A64,Sheet5!$A$2:$D$415,4,FALSE)</f>
        <v>362</v>
      </c>
      <c r="H64" s="7">
        <f>VLOOKUP(A64,Sheet5!$A$2:$D$415,3,FALSE)</f>
        <v>420</v>
      </c>
      <c r="I64" s="7">
        <f>VLOOKUP(A64,'1201-29周均耗用'!$A$1:$C$602,3,FALSE)</f>
        <v>131</v>
      </c>
    </row>
    <row r="65" spans="1:9">
      <c r="A65" s="13" t="s">
        <v>135</v>
      </c>
      <c r="B65" s="14" t="s">
        <v>136</v>
      </c>
      <c r="C65" s="13">
        <v>368</v>
      </c>
      <c r="D65" s="7">
        <f>IFERROR(VLOOKUP(A65,'1227-29耗量'!$A$1:$C$602,3,FALSE),0)</f>
        <v>14</v>
      </c>
      <c r="E65" s="7">
        <f t="shared" si="0"/>
        <v>354</v>
      </c>
      <c r="F65" s="7" t="str">
        <f t="shared" si="1"/>
        <v>無資料</v>
      </c>
      <c r="G65" s="7" t="e">
        <f>VLOOKUP(A65,Sheet5!$A$2:$D$415,4,FALSE)</f>
        <v>#N/A</v>
      </c>
      <c r="H65" s="7" t="e">
        <f>VLOOKUP(A65,Sheet5!$A$2:$D$415,3,FALSE)</f>
        <v>#N/A</v>
      </c>
      <c r="I65" s="7">
        <f>VLOOKUP(A65,'1201-29周均耗用'!$A$1:$C$602,3,FALSE)</f>
        <v>65</v>
      </c>
    </row>
    <row r="66" spans="1:9">
      <c r="A66" s="13" t="s">
        <v>137</v>
      </c>
      <c r="B66" s="14" t="s">
        <v>138</v>
      </c>
      <c r="C66" s="13">
        <v>76</v>
      </c>
      <c r="D66" s="7">
        <f>IFERROR(VLOOKUP(A66,'1227-29耗量'!$A$1:$C$602,3,FALSE),0)</f>
        <v>0</v>
      </c>
      <c r="E66" s="7">
        <f t="shared" si="0"/>
        <v>76</v>
      </c>
      <c r="F66" s="7" t="str">
        <f t="shared" si="1"/>
        <v>無資料</v>
      </c>
      <c r="G66" s="7" t="e">
        <f>VLOOKUP(A66,Sheet5!$A$2:$D$415,4,FALSE)</f>
        <v>#N/A</v>
      </c>
      <c r="H66" s="7" t="e">
        <f>VLOOKUP(A66,Sheet5!$A$2:$D$415,3,FALSE)</f>
        <v>#N/A</v>
      </c>
      <c r="I66" s="7" t="e">
        <f>VLOOKUP(A66,'1201-29周均耗用'!$A$1:$C$602,3,FALSE)</f>
        <v>#N/A</v>
      </c>
    </row>
    <row r="67" spans="1:9">
      <c r="A67" s="13" t="s">
        <v>139</v>
      </c>
      <c r="B67" s="14" t="s">
        <v>140</v>
      </c>
      <c r="C67" s="13">
        <v>132</v>
      </c>
      <c r="D67" s="7">
        <f>IFERROR(VLOOKUP(A67,'1227-29耗量'!$A$1:$C$602,3,FALSE),0)</f>
        <v>10</v>
      </c>
      <c r="E67" s="7">
        <f t="shared" ref="E67:E130" si="2">C67-D67</f>
        <v>122</v>
      </c>
      <c r="F67" s="7" t="str">
        <f t="shared" ref="F67:F130" si="3">IFERROR(IF(E67=G67,"OK","錯誤"),"無資料")</f>
        <v>無資料</v>
      </c>
      <c r="G67" s="7" t="e">
        <f>VLOOKUP(A67,Sheet5!$A$2:$D$415,4,FALSE)</f>
        <v>#N/A</v>
      </c>
      <c r="H67" s="7" t="e">
        <f>VLOOKUP(A67,Sheet5!$A$2:$D$415,3,FALSE)</f>
        <v>#N/A</v>
      </c>
      <c r="I67" s="7">
        <f>VLOOKUP(A67,'1201-29周均耗用'!$A$1:$C$602,3,FALSE)</f>
        <v>64.8</v>
      </c>
    </row>
    <row r="68" spans="1:9">
      <c r="A68" s="13" t="s">
        <v>141</v>
      </c>
      <c r="B68" s="14" t="s">
        <v>142</v>
      </c>
      <c r="C68" s="13">
        <v>131</v>
      </c>
      <c r="D68" s="7">
        <f>VLOOKUP(A68,'1227-29耗量'!$A$1:$C$602,3,FALSE)</f>
        <v>1</v>
      </c>
      <c r="E68" s="7">
        <f t="shared" si="2"/>
        <v>130</v>
      </c>
      <c r="F68" s="7" t="str">
        <f t="shared" si="3"/>
        <v>錯誤</v>
      </c>
      <c r="G68" s="7">
        <f>VLOOKUP(A68,Sheet5!$A$2:$D$415,4,FALSE)</f>
        <v>39</v>
      </c>
      <c r="H68" s="7">
        <f>VLOOKUP(A68,Sheet5!$A$2:$D$415,3,FALSE)</f>
        <v>120</v>
      </c>
      <c r="I68" s="7">
        <f>VLOOKUP(A68,'1201-29周均耗用'!$A$1:$C$602,3,FALSE)</f>
        <v>32.8</v>
      </c>
    </row>
    <row r="69" spans="1:9">
      <c r="A69" s="13" t="s">
        <v>143</v>
      </c>
      <c r="B69" s="14" t="s">
        <v>144</v>
      </c>
      <c r="C69" s="13">
        <v>13</v>
      </c>
      <c r="D69" s="7">
        <f>IFERROR(VLOOKUP(A69,'1227-29耗量'!$A$1:$C$602,3,FALSE),0)</f>
        <v>0</v>
      </c>
      <c r="E69" s="7">
        <f t="shared" si="2"/>
        <v>13</v>
      </c>
      <c r="F69" s="7" t="str">
        <f t="shared" si="3"/>
        <v>無資料</v>
      </c>
      <c r="G69" s="7" t="e">
        <f>VLOOKUP(A69,Sheet5!$A$2:$D$415,4,FALSE)</f>
        <v>#N/A</v>
      </c>
      <c r="H69" s="7" t="e">
        <f>VLOOKUP(A69,Sheet5!$A$2:$D$415,3,FALSE)</f>
        <v>#N/A</v>
      </c>
      <c r="I69" s="7" t="e">
        <f>VLOOKUP(A69,'1201-29周均耗用'!$A$1:$C$602,3,FALSE)</f>
        <v>#N/A</v>
      </c>
    </row>
    <row r="70" spans="1:9">
      <c r="A70" s="13" t="s">
        <v>145</v>
      </c>
      <c r="B70" s="14" t="s">
        <v>146</v>
      </c>
      <c r="C70" s="13">
        <v>70</v>
      </c>
      <c r="D70" s="7">
        <f>IFERROR(VLOOKUP(A70,'1227-29耗量'!$A$1:$C$602,3,FALSE),0)</f>
        <v>3</v>
      </c>
      <c r="E70" s="7">
        <f t="shared" si="2"/>
        <v>67</v>
      </c>
      <c r="F70" s="7" t="str">
        <f t="shared" si="3"/>
        <v>無資料</v>
      </c>
      <c r="G70" s="7" t="e">
        <f>VLOOKUP(A70,Sheet5!$A$2:$D$415,4,FALSE)</f>
        <v>#N/A</v>
      </c>
      <c r="H70" s="7" t="e">
        <f>VLOOKUP(A70,Sheet5!$A$2:$D$415,3,FALSE)</f>
        <v>#N/A</v>
      </c>
      <c r="I70" s="7">
        <f>VLOOKUP(A70,'1201-29周均耗用'!$A$1:$C$602,3,FALSE)</f>
        <v>22.2</v>
      </c>
    </row>
    <row r="71" spans="1:9">
      <c r="A71" s="13" t="s">
        <v>147</v>
      </c>
      <c r="B71" s="14" t="s">
        <v>148</v>
      </c>
      <c r="C71" s="13">
        <v>341</v>
      </c>
      <c r="D71" s="7">
        <f>IFERROR(VLOOKUP(A71,'1227-29耗量'!$A$1:$C$602,3,FALSE),0)</f>
        <v>24</v>
      </c>
      <c r="E71" s="7">
        <f t="shared" si="2"/>
        <v>317</v>
      </c>
      <c r="F71" s="7" t="str">
        <f t="shared" si="3"/>
        <v>無資料</v>
      </c>
      <c r="G71" s="7" t="e">
        <f>VLOOKUP(A71,Sheet5!$A$2:$D$415,4,FALSE)</f>
        <v>#N/A</v>
      </c>
      <c r="H71" s="7" t="e">
        <f>VLOOKUP(A71,Sheet5!$A$2:$D$415,3,FALSE)</f>
        <v>#N/A</v>
      </c>
      <c r="I71" s="7">
        <f>VLOOKUP(A71,'1201-29周均耗用'!$A$1:$C$602,3,FALSE)</f>
        <v>41.2</v>
      </c>
    </row>
    <row r="72" spans="1:9">
      <c r="A72" s="13" t="s">
        <v>149</v>
      </c>
      <c r="B72" s="14" t="s">
        <v>150</v>
      </c>
      <c r="C72" s="13">
        <v>0</v>
      </c>
      <c r="D72" s="7">
        <f>IFERROR(VLOOKUP(A72,'1227-29耗量'!$A$1:$C$602,3,FALSE),0)</f>
        <v>0</v>
      </c>
      <c r="E72" s="7">
        <f t="shared" si="2"/>
        <v>0</v>
      </c>
      <c r="F72" s="7" t="str">
        <f t="shared" si="3"/>
        <v>無資料</v>
      </c>
      <c r="G72" s="7" t="e">
        <f>VLOOKUP(A72,Sheet5!$A$2:$D$415,4,FALSE)</f>
        <v>#N/A</v>
      </c>
      <c r="H72" s="7" t="e">
        <f>VLOOKUP(A72,Sheet5!$A$2:$D$415,3,FALSE)</f>
        <v>#N/A</v>
      </c>
      <c r="I72" s="7" t="e">
        <f>VLOOKUP(A72,'1201-29周均耗用'!$A$1:$C$602,3,FALSE)</f>
        <v>#N/A</v>
      </c>
    </row>
    <row r="73" spans="1:9">
      <c r="A73" s="13" t="s">
        <v>151</v>
      </c>
      <c r="B73" s="14" t="s">
        <v>152</v>
      </c>
      <c r="C73" s="13">
        <v>703</v>
      </c>
      <c r="D73" s="7">
        <f>IFERROR(VLOOKUP(A73,'1227-29耗量'!$A$1:$C$602,3,FALSE),0)</f>
        <v>0</v>
      </c>
      <c r="E73" s="7">
        <f t="shared" si="2"/>
        <v>703</v>
      </c>
      <c r="F73" s="7" t="str">
        <f t="shared" si="3"/>
        <v>無資料</v>
      </c>
      <c r="G73" s="7" t="e">
        <f>VLOOKUP(A73,Sheet5!$A$2:$D$415,4,FALSE)</f>
        <v>#N/A</v>
      </c>
      <c r="H73" s="7" t="e">
        <f>VLOOKUP(A73,Sheet5!$A$2:$D$415,3,FALSE)</f>
        <v>#N/A</v>
      </c>
      <c r="I73" s="7">
        <f>VLOOKUP(A73,'1201-29周均耗用'!$A$1:$C$602,3,FALSE)</f>
        <v>133</v>
      </c>
    </row>
    <row r="74" spans="1:9">
      <c r="A74" s="13" t="s">
        <v>153</v>
      </c>
      <c r="B74" s="14" t="s">
        <v>154</v>
      </c>
      <c r="C74" s="13">
        <v>1</v>
      </c>
      <c r="D74" s="7">
        <f>VLOOKUP(A74,'1227-29耗量'!$A$1:$C$602,3,FALSE)</f>
        <v>18</v>
      </c>
      <c r="E74" s="7">
        <f t="shared" si="2"/>
        <v>-17</v>
      </c>
      <c r="F74" s="7" t="str">
        <f t="shared" si="3"/>
        <v>錯誤</v>
      </c>
      <c r="G74" s="7">
        <f>VLOOKUP(A74,Sheet5!$A$2:$D$415,4,FALSE)</f>
        <v>-26</v>
      </c>
      <c r="H74" s="7">
        <f>VLOOKUP(A74,Sheet5!$A$2:$D$415,3,FALSE)</f>
        <v>250</v>
      </c>
      <c r="I74" s="7">
        <f>VLOOKUP(A74,'1201-29周均耗用'!$A$1:$C$602,3,FALSE)</f>
        <v>79.5</v>
      </c>
    </row>
    <row r="75" spans="1:9">
      <c r="A75" s="13" t="s">
        <v>155</v>
      </c>
      <c r="B75" s="14" t="s">
        <v>156</v>
      </c>
      <c r="C75" s="13">
        <v>804</v>
      </c>
      <c r="D75" s="7">
        <f>VLOOKUP(A75,'1227-29耗量'!$A$1:$C$602,3,FALSE)</f>
        <v>0</v>
      </c>
      <c r="E75" s="7">
        <f t="shared" si="2"/>
        <v>804</v>
      </c>
      <c r="F75" s="7" t="str">
        <f t="shared" si="3"/>
        <v>錯誤</v>
      </c>
      <c r="G75" s="7">
        <f>VLOOKUP(A75,Sheet5!$A$2:$D$415,4,FALSE)</f>
        <v>548</v>
      </c>
      <c r="H75" s="7">
        <f>VLOOKUP(A75,Sheet5!$A$2:$D$415,3,FALSE)</f>
        <v>500</v>
      </c>
      <c r="I75" s="7">
        <f>VLOOKUP(A75,'1201-29周均耗用'!$A$1:$C$602,3,FALSE)</f>
        <v>187.2</v>
      </c>
    </row>
    <row r="76" spans="1:9">
      <c r="A76" s="13" t="s">
        <v>157</v>
      </c>
      <c r="B76" s="14" t="s">
        <v>158</v>
      </c>
      <c r="C76" s="13">
        <v>770</v>
      </c>
      <c r="D76" s="7">
        <f>IFERROR(VLOOKUP(A76,'1227-29耗量'!$A$1:$C$602,3,FALSE),0)</f>
        <v>3</v>
      </c>
      <c r="E76" s="7">
        <f t="shared" si="2"/>
        <v>767</v>
      </c>
      <c r="F76" s="7" t="str">
        <f t="shared" si="3"/>
        <v>無資料</v>
      </c>
      <c r="G76" s="7" t="e">
        <f>VLOOKUP(A76,Sheet5!$A$2:$D$415,4,FALSE)</f>
        <v>#N/A</v>
      </c>
      <c r="H76" s="7" t="e">
        <f>VLOOKUP(A76,Sheet5!$A$2:$D$415,3,FALSE)</f>
        <v>#N/A</v>
      </c>
      <c r="I76" s="7">
        <f>VLOOKUP(A76,'1201-29周均耗用'!$A$1:$C$602,3,FALSE)</f>
        <v>11.5</v>
      </c>
    </row>
    <row r="77" spans="1:9">
      <c r="A77" s="13" t="s">
        <v>159</v>
      </c>
      <c r="B77" s="14" t="s">
        <v>160</v>
      </c>
      <c r="C77" s="13">
        <v>46</v>
      </c>
      <c r="D77" s="7">
        <f>IFERROR(VLOOKUP(A77,'1227-29耗量'!$A$1:$C$602,3,FALSE),0)</f>
        <v>1</v>
      </c>
      <c r="E77" s="7">
        <f t="shared" si="2"/>
        <v>45</v>
      </c>
      <c r="F77" s="7" t="str">
        <f t="shared" si="3"/>
        <v>無資料</v>
      </c>
      <c r="G77" s="7" t="e">
        <f>VLOOKUP(A77,Sheet5!$A$2:$D$415,4,FALSE)</f>
        <v>#N/A</v>
      </c>
      <c r="H77" s="7" t="e">
        <f>VLOOKUP(A77,Sheet5!$A$2:$D$415,3,FALSE)</f>
        <v>#N/A</v>
      </c>
      <c r="I77" s="7">
        <f>VLOOKUP(A77,'1201-29周均耗用'!$A$1:$C$602,3,FALSE)</f>
        <v>2.8</v>
      </c>
    </row>
    <row r="78" spans="1:9">
      <c r="A78" s="13" t="s">
        <v>161</v>
      </c>
      <c r="B78" s="14" t="s">
        <v>162</v>
      </c>
      <c r="C78" s="13">
        <v>21</v>
      </c>
      <c r="D78" s="7">
        <f>VLOOKUP(A78,'1227-29耗量'!$A$1:$C$602,3,FALSE)</f>
        <v>1</v>
      </c>
      <c r="E78" s="7">
        <f t="shared" si="2"/>
        <v>20</v>
      </c>
      <c r="F78" s="7" t="str">
        <f t="shared" si="3"/>
        <v>錯誤</v>
      </c>
      <c r="G78" s="7">
        <f>VLOOKUP(A78,Sheet5!$A$2:$D$415,4,FALSE)</f>
        <v>8</v>
      </c>
      <c r="H78" s="7">
        <f>VLOOKUP(A78,Sheet5!$A$2:$D$415,3,FALSE)</f>
        <v>80</v>
      </c>
      <c r="I78" s="7">
        <f>VLOOKUP(A78,'1201-29周均耗用'!$A$1:$C$602,3,FALSE)</f>
        <v>6.2</v>
      </c>
    </row>
    <row r="79" spans="1:9">
      <c r="A79" s="13" t="s">
        <v>163</v>
      </c>
      <c r="B79" s="14" t="s">
        <v>164</v>
      </c>
      <c r="C79" s="13">
        <v>454</v>
      </c>
      <c r="D79" s="7">
        <f>VLOOKUP(A79,'1227-29耗量'!$A$1:$C$602,3,FALSE)</f>
        <v>-3</v>
      </c>
      <c r="E79" s="7">
        <f t="shared" si="2"/>
        <v>457</v>
      </c>
      <c r="F79" s="7" t="str">
        <f t="shared" si="3"/>
        <v>錯誤</v>
      </c>
      <c r="G79" s="7">
        <f>VLOOKUP(A79,Sheet5!$A$2:$D$415,4,FALSE)</f>
        <v>115</v>
      </c>
      <c r="H79" s="7">
        <f>VLOOKUP(A79,Sheet5!$A$2:$D$415,3,FALSE)</f>
        <v>240</v>
      </c>
      <c r="I79" s="7">
        <f>VLOOKUP(A79,'1201-29周均耗用'!$A$1:$C$602,3,FALSE)</f>
        <v>33.5</v>
      </c>
    </row>
    <row r="80" spans="1:9">
      <c r="A80" s="13" t="s">
        <v>165</v>
      </c>
      <c r="B80" s="14" t="s">
        <v>166</v>
      </c>
      <c r="C80" s="13">
        <v>1</v>
      </c>
      <c r="D80" s="7">
        <f>IFERROR(VLOOKUP(A80,'1227-29耗量'!$A$1:$C$602,3,FALSE),0)</f>
        <v>0</v>
      </c>
      <c r="E80" s="7">
        <f t="shared" si="2"/>
        <v>1</v>
      </c>
      <c r="F80" s="7" t="str">
        <f t="shared" si="3"/>
        <v>無資料</v>
      </c>
      <c r="G80" s="7" t="e">
        <f>VLOOKUP(A80,Sheet5!$A$2:$D$415,4,FALSE)</f>
        <v>#N/A</v>
      </c>
      <c r="H80" s="7" t="e">
        <f>VLOOKUP(A80,Sheet5!$A$2:$D$415,3,FALSE)</f>
        <v>#N/A</v>
      </c>
      <c r="I80" s="7" t="e">
        <f>VLOOKUP(A80,'1201-29周均耗用'!$A$1:$C$602,3,FALSE)</f>
        <v>#N/A</v>
      </c>
    </row>
    <row r="81" spans="1:9">
      <c r="A81" s="13" t="s">
        <v>167</v>
      </c>
      <c r="B81" s="14" t="s">
        <v>168</v>
      </c>
      <c r="C81" s="13">
        <v>22</v>
      </c>
      <c r="D81" s="7">
        <f>IFERROR(VLOOKUP(A81,'1227-29耗量'!$A$1:$C$602,3,FALSE),0)</f>
        <v>0</v>
      </c>
      <c r="E81" s="7">
        <f t="shared" si="2"/>
        <v>22</v>
      </c>
      <c r="F81" s="7" t="str">
        <f t="shared" si="3"/>
        <v>無資料</v>
      </c>
      <c r="G81" s="7" t="e">
        <f>VLOOKUP(A81,Sheet5!$A$2:$D$415,4,FALSE)</f>
        <v>#N/A</v>
      </c>
      <c r="H81" s="7" t="e">
        <f>VLOOKUP(A81,Sheet5!$A$2:$D$415,3,FALSE)</f>
        <v>#N/A</v>
      </c>
      <c r="I81" s="7" t="e">
        <f>VLOOKUP(A81,'1201-29周均耗用'!$A$1:$C$602,3,FALSE)</f>
        <v>#N/A</v>
      </c>
    </row>
    <row r="82" spans="1:9">
      <c r="A82" s="13" t="s">
        <v>169</v>
      </c>
      <c r="B82" s="14" t="s">
        <v>170</v>
      </c>
      <c r="C82" s="13">
        <v>167</v>
      </c>
      <c r="D82" s="7">
        <f>IFERROR(VLOOKUP(A82,'1227-29耗量'!$A$1:$C$602,3,FALSE),0)</f>
        <v>0</v>
      </c>
      <c r="E82" s="7">
        <f t="shared" si="2"/>
        <v>167</v>
      </c>
      <c r="F82" s="7" t="str">
        <f t="shared" si="3"/>
        <v>無資料</v>
      </c>
      <c r="G82" s="7" t="e">
        <f>VLOOKUP(A82,Sheet5!$A$2:$D$415,4,FALSE)</f>
        <v>#N/A</v>
      </c>
      <c r="H82" s="7" t="e">
        <f>VLOOKUP(A82,Sheet5!$A$2:$D$415,3,FALSE)</f>
        <v>#N/A</v>
      </c>
      <c r="I82" s="7" t="e">
        <f>VLOOKUP(A82,'1201-29周均耗用'!$A$1:$C$602,3,FALSE)</f>
        <v>#N/A</v>
      </c>
    </row>
    <row r="83" spans="1:9">
      <c r="A83" s="13" t="s">
        <v>171</v>
      </c>
      <c r="B83" s="14" t="s">
        <v>172</v>
      </c>
      <c r="C83" s="13">
        <v>779</v>
      </c>
      <c r="D83" s="7">
        <f>VLOOKUP(A83,'1227-29耗量'!$A$1:$C$602,3,FALSE)</f>
        <v>66</v>
      </c>
      <c r="E83" s="7">
        <f t="shared" si="2"/>
        <v>713</v>
      </c>
      <c r="F83" s="7" t="str">
        <f t="shared" si="3"/>
        <v>錯誤</v>
      </c>
      <c r="G83" s="7">
        <f>VLOOKUP(A83,Sheet5!$A$2:$D$415,4,FALSE)</f>
        <v>609</v>
      </c>
      <c r="H83" s="7">
        <f>VLOOKUP(A83,Sheet5!$A$2:$D$415,3,FALSE)</f>
        <v>2340</v>
      </c>
      <c r="I83" s="7">
        <f>VLOOKUP(A83,'1201-29周均耗用'!$A$1:$C$602,3,FALSE)</f>
        <v>577.2</v>
      </c>
    </row>
    <row r="84" spans="1:9">
      <c r="A84" s="13" t="s">
        <v>173</v>
      </c>
      <c r="B84" s="14" t="s">
        <v>174</v>
      </c>
      <c r="C84" s="13">
        <v>0</v>
      </c>
      <c r="D84" s="7">
        <f>IFERROR(VLOOKUP(A84,'1227-29耗量'!$A$1:$C$602,3,FALSE),0)</f>
        <v>0</v>
      </c>
      <c r="E84" s="7">
        <f t="shared" si="2"/>
        <v>0</v>
      </c>
      <c r="F84" s="7" t="str">
        <f t="shared" si="3"/>
        <v>無資料</v>
      </c>
      <c r="G84" s="7" t="e">
        <f>VLOOKUP(A84,Sheet5!$A$2:$D$415,4,FALSE)</f>
        <v>#N/A</v>
      </c>
      <c r="H84" s="7" t="e">
        <f>VLOOKUP(A84,Sheet5!$A$2:$D$415,3,FALSE)</f>
        <v>#N/A</v>
      </c>
      <c r="I84" s="7" t="e">
        <f>VLOOKUP(A84,'1201-29周均耗用'!$A$1:$C$602,3,FALSE)</f>
        <v>#N/A</v>
      </c>
    </row>
    <row r="85" spans="1:9">
      <c r="A85" s="13" t="s">
        <v>175</v>
      </c>
      <c r="B85" s="14" t="s">
        <v>176</v>
      </c>
      <c r="C85" s="13">
        <v>0</v>
      </c>
      <c r="D85" s="7">
        <f>IFERROR(VLOOKUP(A85,'1227-29耗量'!$A$1:$C$602,3,FALSE),0)</f>
        <v>0</v>
      </c>
      <c r="E85" s="7">
        <f t="shared" si="2"/>
        <v>0</v>
      </c>
      <c r="F85" s="7" t="str">
        <f t="shared" si="3"/>
        <v>無資料</v>
      </c>
      <c r="G85" s="7" t="e">
        <f>VLOOKUP(A85,Sheet5!$A$2:$D$415,4,FALSE)</f>
        <v>#N/A</v>
      </c>
      <c r="H85" s="7" t="e">
        <f>VLOOKUP(A85,Sheet5!$A$2:$D$415,3,FALSE)</f>
        <v>#N/A</v>
      </c>
      <c r="I85" s="7" t="e">
        <f>VLOOKUP(A85,'1201-29周均耗用'!$A$1:$C$602,3,FALSE)</f>
        <v>#N/A</v>
      </c>
    </row>
    <row r="86" spans="1:9">
      <c r="A86" s="13" t="s">
        <v>177</v>
      </c>
      <c r="B86" s="14" t="s">
        <v>178</v>
      </c>
      <c r="C86" s="13">
        <v>0</v>
      </c>
      <c r="D86" s="7">
        <f>IFERROR(VLOOKUP(A86,'1227-29耗量'!$A$1:$C$602,3,FALSE),0)</f>
        <v>0</v>
      </c>
      <c r="E86" s="7">
        <f t="shared" si="2"/>
        <v>0</v>
      </c>
      <c r="F86" s="7" t="str">
        <f t="shared" si="3"/>
        <v>無資料</v>
      </c>
      <c r="G86" s="7" t="e">
        <f>VLOOKUP(A86,Sheet5!$A$2:$D$415,4,FALSE)</f>
        <v>#N/A</v>
      </c>
      <c r="H86" s="7" t="e">
        <f>VLOOKUP(A86,Sheet5!$A$2:$D$415,3,FALSE)</f>
        <v>#N/A</v>
      </c>
      <c r="I86" s="7" t="e">
        <f>VLOOKUP(A86,'1201-29周均耗用'!$A$1:$C$602,3,FALSE)</f>
        <v>#N/A</v>
      </c>
    </row>
    <row r="87" spans="1:9">
      <c r="A87" s="13" t="s">
        <v>179</v>
      </c>
      <c r="B87" s="14" t="s">
        <v>180</v>
      </c>
      <c r="C87" s="13">
        <v>0</v>
      </c>
      <c r="D87" s="7">
        <f>IFERROR(VLOOKUP(A87,'1227-29耗量'!$A$1:$C$602,3,FALSE),0)</f>
        <v>0</v>
      </c>
      <c r="E87" s="7">
        <f t="shared" si="2"/>
        <v>0</v>
      </c>
      <c r="F87" s="7" t="str">
        <f t="shared" si="3"/>
        <v>無資料</v>
      </c>
      <c r="G87" s="7" t="e">
        <f>VLOOKUP(A87,Sheet5!$A$2:$D$415,4,FALSE)</f>
        <v>#N/A</v>
      </c>
      <c r="H87" s="7" t="e">
        <f>VLOOKUP(A87,Sheet5!$A$2:$D$415,3,FALSE)</f>
        <v>#N/A</v>
      </c>
      <c r="I87" s="7" t="e">
        <f>VLOOKUP(A87,'1201-29周均耗用'!$A$1:$C$602,3,FALSE)</f>
        <v>#N/A</v>
      </c>
    </row>
    <row r="88" spans="1:9">
      <c r="A88" s="13" t="s">
        <v>181</v>
      </c>
      <c r="B88" s="14" t="s">
        <v>182</v>
      </c>
      <c r="C88" s="13">
        <v>1092</v>
      </c>
      <c r="D88" s="7">
        <f>VLOOKUP(A88,'1227-29耗量'!$A$1:$C$602,3,FALSE)</f>
        <v>35</v>
      </c>
      <c r="E88" s="7">
        <f t="shared" si="2"/>
        <v>1057</v>
      </c>
      <c r="F88" s="7" t="str">
        <f t="shared" si="3"/>
        <v>錯誤</v>
      </c>
      <c r="G88" s="7">
        <f>VLOOKUP(A88,Sheet5!$A$2:$D$415,4,FALSE)</f>
        <v>421</v>
      </c>
      <c r="H88" s="7">
        <f>VLOOKUP(A88,Sheet5!$A$2:$D$415,3,FALSE)</f>
        <v>1500</v>
      </c>
      <c r="I88" s="7">
        <f>VLOOKUP(A88,'1201-29周均耗用'!$A$1:$C$602,3,FALSE)</f>
        <v>314.2</v>
      </c>
    </row>
    <row r="89" spans="1:9">
      <c r="A89" s="13" t="s">
        <v>183</v>
      </c>
      <c r="B89" s="14" t="s">
        <v>184</v>
      </c>
      <c r="C89" s="13">
        <v>0</v>
      </c>
      <c r="D89" s="7">
        <f>IFERROR(VLOOKUP(A89,'1227-29耗量'!$A$1:$C$602,3,FALSE),0)</f>
        <v>0</v>
      </c>
      <c r="E89" s="7">
        <f t="shared" si="2"/>
        <v>0</v>
      </c>
      <c r="F89" s="7" t="str">
        <f t="shared" si="3"/>
        <v>無資料</v>
      </c>
      <c r="G89" s="7" t="e">
        <f>VLOOKUP(A89,Sheet5!$A$2:$D$415,4,FALSE)</f>
        <v>#N/A</v>
      </c>
      <c r="H89" s="7" t="e">
        <f>VLOOKUP(A89,Sheet5!$A$2:$D$415,3,FALSE)</f>
        <v>#N/A</v>
      </c>
      <c r="I89" s="7" t="e">
        <f>VLOOKUP(A89,'1201-29周均耗用'!$A$1:$C$602,3,FALSE)</f>
        <v>#N/A</v>
      </c>
    </row>
    <row r="90" spans="1:9">
      <c r="A90" s="13" t="s">
        <v>185</v>
      </c>
      <c r="B90" s="14" t="s">
        <v>186</v>
      </c>
      <c r="C90" s="13">
        <v>58</v>
      </c>
      <c r="D90" s="7">
        <f>IFERROR(VLOOKUP(A90,'1227-29耗量'!$A$1:$C$602,3,FALSE),0)</f>
        <v>0</v>
      </c>
      <c r="E90" s="7">
        <f t="shared" si="2"/>
        <v>58</v>
      </c>
      <c r="F90" s="7" t="str">
        <f t="shared" si="3"/>
        <v>無資料</v>
      </c>
      <c r="G90" s="7" t="e">
        <f>VLOOKUP(A90,Sheet5!$A$2:$D$415,4,FALSE)</f>
        <v>#N/A</v>
      </c>
      <c r="H90" s="7" t="e">
        <f>VLOOKUP(A90,Sheet5!$A$2:$D$415,3,FALSE)</f>
        <v>#N/A</v>
      </c>
      <c r="I90" s="7" t="e">
        <f>VLOOKUP(A90,'1201-29周均耗用'!$A$1:$C$602,3,FALSE)</f>
        <v>#N/A</v>
      </c>
    </row>
    <row r="91" spans="1:9">
      <c r="A91" s="13" t="s">
        <v>187</v>
      </c>
      <c r="B91" s="14" t="s">
        <v>188</v>
      </c>
      <c r="C91" s="13">
        <v>92</v>
      </c>
      <c r="D91" s="7">
        <f>IFERROR(VLOOKUP(A91,'1227-29耗量'!$A$1:$C$602,3,FALSE),0)</f>
        <v>1</v>
      </c>
      <c r="E91" s="7">
        <f t="shared" si="2"/>
        <v>91</v>
      </c>
      <c r="F91" s="7" t="str">
        <f t="shared" si="3"/>
        <v>無資料</v>
      </c>
      <c r="G91" s="7" t="e">
        <f>VLOOKUP(A91,Sheet5!$A$2:$D$415,4,FALSE)</f>
        <v>#N/A</v>
      </c>
      <c r="H91" s="7" t="e">
        <f>VLOOKUP(A91,Sheet5!$A$2:$D$415,3,FALSE)</f>
        <v>#N/A</v>
      </c>
      <c r="I91" s="7">
        <f>VLOOKUP(A91,'1201-29周均耗用'!$A$1:$C$602,3,FALSE)</f>
        <v>16</v>
      </c>
    </row>
    <row r="92" spans="1:9">
      <c r="A92" s="13" t="s">
        <v>189</v>
      </c>
      <c r="B92" s="14" t="s">
        <v>190</v>
      </c>
      <c r="C92" s="13">
        <v>11</v>
      </c>
      <c r="D92" s="7">
        <f>IFERROR(VLOOKUP(A92,'1227-29耗量'!$A$1:$C$602,3,FALSE),0)</f>
        <v>0</v>
      </c>
      <c r="E92" s="7">
        <f t="shared" si="2"/>
        <v>11</v>
      </c>
      <c r="F92" s="7" t="str">
        <f t="shared" si="3"/>
        <v>無資料</v>
      </c>
      <c r="G92" s="7" t="e">
        <f>VLOOKUP(A92,Sheet5!$A$2:$D$415,4,FALSE)</f>
        <v>#N/A</v>
      </c>
      <c r="H92" s="7" t="e">
        <f>VLOOKUP(A92,Sheet5!$A$2:$D$415,3,FALSE)</f>
        <v>#N/A</v>
      </c>
      <c r="I92" s="7">
        <f>VLOOKUP(A92,'1201-29周均耗用'!$A$1:$C$602,3,FALSE)</f>
        <v>0.8</v>
      </c>
    </row>
    <row r="93" spans="1:9">
      <c r="A93" s="13" t="s">
        <v>191</v>
      </c>
      <c r="B93" s="14" t="s">
        <v>192</v>
      </c>
      <c r="C93" s="13">
        <v>0</v>
      </c>
      <c r="D93" s="7">
        <f>IFERROR(VLOOKUP(A93,'1227-29耗量'!$A$1:$C$602,3,FALSE),0)</f>
        <v>0</v>
      </c>
      <c r="E93" s="7">
        <f t="shared" si="2"/>
        <v>0</v>
      </c>
      <c r="F93" s="7" t="str">
        <f t="shared" si="3"/>
        <v>無資料</v>
      </c>
      <c r="G93" s="7" t="e">
        <f>VLOOKUP(A93,Sheet5!$A$2:$D$415,4,FALSE)</f>
        <v>#N/A</v>
      </c>
      <c r="H93" s="7" t="e">
        <f>VLOOKUP(A93,Sheet5!$A$2:$D$415,3,FALSE)</f>
        <v>#N/A</v>
      </c>
      <c r="I93" s="7">
        <f>VLOOKUP(A93,'1201-29周均耗用'!$A$1:$C$602,3,FALSE)</f>
        <v>14</v>
      </c>
    </row>
    <row r="94" spans="1:9">
      <c r="A94" s="13" t="s">
        <v>193</v>
      </c>
      <c r="B94" s="14" t="s">
        <v>194</v>
      </c>
      <c r="C94" s="13">
        <v>0</v>
      </c>
      <c r="D94" s="7">
        <f>IFERROR(VLOOKUP(A94,'1227-29耗量'!$A$1:$C$602,3,FALSE),0)</f>
        <v>0</v>
      </c>
      <c r="E94" s="7">
        <f t="shared" si="2"/>
        <v>0</v>
      </c>
      <c r="F94" s="7" t="str">
        <f t="shared" si="3"/>
        <v>無資料</v>
      </c>
      <c r="G94" s="7" t="e">
        <f>VLOOKUP(A94,Sheet5!$A$2:$D$415,4,FALSE)</f>
        <v>#N/A</v>
      </c>
      <c r="H94" s="7" t="e">
        <f>VLOOKUP(A94,Sheet5!$A$2:$D$415,3,FALSE)</f>
        <v>#N/A</v>
      </c>
      <c r="I94" s="7" t="e">
        <f>VLOOKUP(A94,'1201-29周均耗用'!$A$1:$C$602,3,FALSE)</f>
        <v>#N/A</v>
      </c>
    </row>
    <row r="95" spans="1:9">
      <c r="A95" s="13" t="s">
        <v>195</v>
      </c>
      <c r="B95" s="14" t="s">
        <v>196</v>
      </c>
      <c r="C95" s="13">
        <v>1147</v>
      </c>
      <c r="D95" s="7">
        <f>IFERROR(VLOOKUP(A95,'1227-29耗量'!$A$1:$C$602,3,FALSE),0)</f>
        <v>35</v>
      </c>
      <c r="E95" s="7">
        <f t="shared" si="2"/>
        <v>1112</v>
      </c>
      <c r="F95" s="7" t="str">
        <f t="shared" si="3"/>
        <v>無資料</v>
      </c>
      <c r="G95" s="7" t="e">
        <f>VLOOKUP(A95,Sheet5!$A$2:$D$415,4,FALSE)</f>
        <v>#N/A</v>
      </c>
      <c r="H95" s="7" t="e">
        <f>VLOOKUP(A95,Sheet5!$A$2:$D$415,3,FALSE)</f>
        <v>#N/A</v>
      </c>
      <c r="I95" s="7">
        <f>VLOOKUP(A95,'1201-29周均耗用'!$A$1:$C$602,3,FALSE)</f>
        <v>74</v>
      </c>
    </row>
    <row r="96" spans="1:9">
      <c r="A96" s="13" t="s">
        <v>197</v>
      </c>
      <c r="B96" s="14" t="s">
        <v>198</v>
      </c>
      <c r="C96" s="13">
        <v>0</v>
      </c>
      <c r="D96" s="7">
        <f>IFERROR(VLOOKUP(A96,'1227-29耗量'!$A$1:$C$602,3,FALSE),0)</f>
        <v>0</v>
      </c>
      <c r="E96" s="7">
        <f t="shared" si="2"/>
        <v>0</v>
      </c>
      <c r="F96" s="7" t="str">
        <f t="shared" si="3"/>
        <v>無資料</v>
      </c>
      <c r="G96" s="7" t="e">
        <f>VLOOKUP(A96,Sheet5!$A$2:$D$415,4,FALSE)</f>
        <v>#N/A</v>
      </c>
      <c r="H96" s="7" t="e">
        <f>VLOOKUP(A96,Sheet5!$A$2:$D$415,3,FALSE)</f>
        <v>#N/A</v>
      </c>
      <c r="I96" s="7" t="e">
        <f>VLOOKUP(A96,'1201-29周均耗用'!$A$1:$C$602,3,FALSE)</f>
        <v>#N/A</v>
      </c>
    </row>
    <row r="97" spans="1:9">
      <c r="A97" s="13" t="s">
        <v>199</v>
      </c>
      <c r="B97" s="14" t="s">
        <v>200</v>
      </c>
      <c r="C97" s="13">
        <v>1016</v>
      </c>
      <c r="D97" s="7">
        <f>VLOOKUP(A97,'1227-29耗量'!$A$1:$C$602,3,FALSE)</f>
        <v>4</v>
      </c>
      <c r="E97" s="7">
        <f t="shared" si="2"/>
        <v>1012</v>
      </c>
      <c r="F97" s="7" t="str">
        <f t="shared" si="3"/>
        <v>錯誤</v>
      </c>
      <c r="G97" s="7">
        <f>VLOOKUP(A97,Sheet5!$A$2:$D$415,4,FALSE)</f>
        <v>103</v>
      </c>
      <c r="H97" s="7">
        <f>VLOOKUP(A97,Sheet5!$A$2:$D$415,3,FALSE)</f>
        <v>1000</v>
      </c>
      <c r="I97" s="7">
        <f>VLOOKUP(A97,'1201-29周均耗用'!$A$1:$C$602,3,FALSE)</f>
        <v>45.2</v>
      </c>
    </row>
    <row r="98" spans="1:9">
      <c r="A98" s="13" t="s">
        <v>201</v>
      </c>
      <c r="B98" s="14" t="s">
        <v>202</v>
      </c>
      <c r="C98" s="13">
        <v>0</v>
      </c>
      <c r="D98" s="7">
        <f>IFERROR(VLOOKUP(A98,'1227-29耗量'!$A$1:$C$602,3,FALSE),0)</f>
        <v>0</v>
      </c>
      <c r="E98" s="7">
        <f t="shared" si="2"/>
        <v>0</v>
      </c>
      <c r="F98" s="7" t="str">
        <f t="shared" si="3"/>
        <v>無資料</v>
      </c>
      <c r="G98" s="7" t="e">
        <f>VLOOKUP(A98,Sheet5!$A$2:$D$415,4,FALSE)</f>
        <v>#N/A</v>
      </c>
      <c r="H98" s="7" t="e">
        <f>VLOOKUP(A98,Sheet5!$A$2:$D$415,3,FALSE)</f>
        <v>#N/A</v>
      </c>
      <c r="I98" s="7" t="e">
        <f>VLOOKUP(A98,'1201-29周均耗用'!$A$1:$C$602,3,FALSE)</f>
        <v>#N/A</v>
      </c>
    </row>
    <row r="99" spans="1:9">
      <c r="A99" s="13" t="s">
        <v>203</v>
      </c>
      <c r="B99" s="14" t="s">
        <v>204</v>
      </c>
      <c r="C99" s="13">
        <v>191</v>
      </c>
      <c r="D99" s="7">
        <f>IFERROR(VLOOKUP(A99,'1227-29耗量'!$A$1:$C$602,3,FALSE),0)</f>
        <v>1</v>
      </c>
      <c r="E99" s="7">
        <f t="shared" si="2"/>
        <v>190</v>
      </c>
      <c r="F99" s="7" t="str">
        <f t="shared" si="3"/>
        <v>無資料</v>
      </c>
      <c r="G99" s="7" t="e">
        <f>VLOOKUP(A99,Sheet5!$A$2:$D$415,4,FALSE)</f>
        <v>#N/A</v>
      </c>
      <c r="H99" s="7" t="e">
        <f>VLOOKUP(A99,Sheet5!$A$2:$D$415,3,FALSE)</f>
        <v>#N/A</v>
      </c>
      <c r="I99" s="7">
        <f>VLOOKUP(A99,'1201-29周均耗用'!$A$1:$C$602,3,FALSE)</f>
        <v>5.8</v>
      </c>
    </row>
    <row r="100" spans="1:9">
      <c r="A100" s="13" t="s">
        <v>205</v>
      </c>
      <c r="B100" s="14" t="s">
        <v>206</v>
      </c>
      <c r="C100" s="13">
        <v>39</v>
      </c>
      <c r="D100" s="7">
        <f>IFERROR(VLOOKUP(A100,'1227-29耗量'!$A$1:$C$602,3,FALSE),0)</f>
        <v>0</v>
      </c>
      <c r="E100" s="7">
        <f t="shared" si="2"/>
        <v>39</v>
      </c>
      <c r="F100" s="7" t="str">
        <f t="shared" si="3"/>
        <v>無資料</v>
      </c>
      <c r="G100" s="7" t="e">
        <f>VLOOKUP(A100,Sheet5!$A$2:$D$415,4,FALSE)</f>
        <v>#N/A</v>
      </c>
      <c r="H100" s="7" t="e">
        <f>VLOOKUP(A100,Sheet5!$A$2:$D$415,3,FALSE)</f>
        <v>#N/A</v>
      </c>
      <c r="I100" s="7" t="e">
        <f>VLOOKUP(A100,'1201-29周均耗用'!$A$1:$C$602,3,FALSE)</f>
        <v>#N/A</v>
      </c>
    </row>
    <row r="101" spans="1:9">
      <c r="A101" s="13" t="s">
        <v>207</v>
      </c>
      <c r="B101" s="14" t="s">
        <v>208</v>
      </c>
      <c r="C101" s="13">
        <v>134</v>
      </c>
      <c r="D101" s="7">
        <f>VLOOKUP(A101,'1227-29耗量'!$A$1:$C$602,3,FALSE)</f>
        <v>9</v>
      </c>
      <c r="E101" s="7">
        <f t="shared" si="2"/>
        <v>125</v>
      </c>
      <c r="F101" s="7" t="str">
        <f t="shared" si="3"/>
        <v>錯誤</v>
      </c>
      <c r="G101" s="7">
        <f>VLOOKUP(A101,Sheet5!$A$2:$D$415,4,FALSE)</f>
        <v>81</v>
      </c>
      <c r="H101" s="7">
        <f>VLOOKUP(A101,Sheet5!$A$2:$D$415,3,FALSE)</f>
        <v>84</v>
      </c>
      <c r="I101" s="7">
        <f>VLOOKUP(A101,'1201-29周均耗用'!$A$1:$C$602,3,FALSE)</f>
        <v>52.2</v>
      </c>
    </row>
    <row r="102" spans="1:9">
      <c r="A102" s="13" t="s">
        <v>209</v>
      </c>
      <c r="B102" s="14" t="s">
        <v>210</v>
      </c>
      <c r="C102" s="13">
        <v>9</v>
      </c>
      <c r="D102" s="7">
        <f>IFERROR(VLOOKUP(A102,'1227-29耗量'!$A$1:$C$602,3,FALSE),0)</f>
        <v>0</v>
      </c>
      <c r="E102" s="7">
        <f t="shared" si="2"/>
        <v>9</v>
      </c>
      <c r="F102" s="7" t="str">
        <f t="shared" si="3"/>
        <v>錯誤</v>
      </c>
      <c r="G102" s="7">
        <f>VLOOKUP(A102,Sheet5!$A$2:$D$415,4,FALSE)</f>
        <v>1</v>
      </c>
      <c r="H102" s="7">
        <f>VLOOKUP(A102,Sheet5!$A$2:$D$415,3,FALSE)</f>
        <v>30</v>
      </c>
      <c r="I102" s="7">
        <f>VLOOKUP(A102,'1201-29周均耗用'!$A$1:$C$602,3,FALSE)</f>
        <v>7.5</v>
      </c>
    </row>
    <row r="103" spans="1:9">
      <c r="A103" s="13" t="s">
        <v>211</v>
      </c>
      <c r="B103" s="14" t="s">
        <v>212</v>
      </c>
      <c r="C103" s="13">
        <v>0</v>
      </c>
      <c r="D103" s="7">
        <f>IFERROR(VLOOKUP(A103,'1227-29耗量'!$A$1:$C$602,3,FALSE),0)</f>
        <v>0</v>
      </c>
      <c r="E103" s="7">
        <f t="shared" si="2"/>
        <v>0</v>
      </c>
      <c r="F103" s="7" t="str">
        <f t="shared" si="3"/>
        <v>無資料</v>
      </c>
      <c r="G103" s="7" t="e">
        <f>VLOOKUP(A103,Sheet5!$A$2:$D$415,4,FALSE)</f>
        <v>#N/A</v>
      </c>
      <c r="H103" s="7" t="e">
        <f>VLOOKUP(A103,Sheet5!$A$2:$D$415,3,FALSE)</f>
        <v>#N/A</v>
      </c>
      <c r="I103" s="7" t="e">
        <f>VLOOKUP(A103,'1201-29周均耗用'!$A$1:$C$602,3,FALSE)</f>
        <v>#N/A</v>
      </c>
    </row>
    <row r="104" spans="1:9">
      <c r="A104" s="13" t="s">
        <v>213</v>
      </c>
      <c r="B104" s="14" t="s">
        <v>214</v>
      </c>
      <c r="C104" s="13">
        <v>19</v>
      </c>
      <c r="D104" s="7">
        <f>IFERROR(VLOOKUP(A104,'1227-29耗量'!$A$1:$C$602,3,FALSE),0)</f>
        <v>0</v>
      </c>
      <c r="E104" s="7">
        <f t="shared" si="2"/>
        <v>19</v>
      </c>
      <c r="F104" s="7" t="str">
        <f t="shared" si="3"/>
        <v>錯誤</v>
      </c>
      <c r="G104" s="7">
        <f>VLOOKUP(A104,Sheet5!$A$2:$D$415,4,FALSE)</f>
        <v>6</v>
      </c>
      <c r="H104" s="7">
        <f>VLOOKUP(A104,Sheet5!$A$2:$D$415,3,FALSE)</f>
        <v>20</v>
      </c>
      <c r="I104" s="7" t="e">
        <f>VLOOKUP(A104,'1201-29周均耗用'!$A$1:$C$602,3,FALSE)</f>
        <v>#N/A</v>
      </c>
    </row>
    <row r="105" spans="1:9">
      <c r="A105" s="13" t="s">
        <v>215</v>
      </c>
      <c r="B105" s="14" t="s">
        <v>216</v>
      </c>
      <c r="C105" s="13">
        <v>2</v>
      </c>
      <c r="D105" s="7">
        <f>IFERROR(VLOOKUP(A105,'1227-29耗量'!$A$1:$C$602,3,FALSE),0)</f>
        <v>0</v>
      </c>
      <c r="E105" s="7">
        <f t="shared" si="2"/>
        <v>2</v>
      </c>
      <c r="F105" s="7" t="str">
        <f t="shared" si="3"/>
        <v>無資料</v>
      </c>
      <c r="G105" s="7" t="e">
        <f>VLOOKUP(A105,Sheet5!$A$2:$D$415,4,FALSE)</f>
        <v>#N/A</v>
      </c>
      <c r="H105" s="7" t="e">
        <f>VLOOKUP(A105,Sheet5!$A$2:$D$415,3,FALSE)</f>
        <v>#N/A</v>
      </c>
      <c r="I105" s="7" t="e">
        <f>VLOOKUP(A105,'1201-29周均耗用'!$A$1:$C$602,3,FALSE)</f>
        <v>#N/A</v>
      </c>
    </row>
    <row r="106" spans="1:9">
      <c r="A106" s="13" t="s">
        <v>217</v>
      </c>
      <c r="B106" s="14" t="s">
        <v>218</v>
      </c>
      <c r="C106" s="13">
        <v>0</v>
      </c>
      <c r="D106" s="7">
        <f>IFERROR(VLOOKUP(A106,'1227-29耗量'!$A$1:$C$602,3,FALSE),0)</f>
        <v>0</v>
      </c>
      <c r="E106" s="7">
        <f t="shared" si="2"/>
        <v>0</v>
      </c>
      <c r="F106" s="7" t="str">
        <f t="shared" si="3"/>
        <v>無資料</v>
      </c>
      <c r="G106" s="7" t="e">
        <f>VLOOKUP(A106,Sheet5!$A$2:$D$415,4,FALSE)</f>
        <v>#N/A</v>
      </c>
      <c r="H106" s="7" t="e">
        <f>VLOOKUP(A106,Sheet5!$A$2:$D$415,3,FALSE)</f>
        <v>#N/A</v>
      </c>
      <c r="I106" s="7" t="e">
        <f>VLOOKUP(A106,'1201-29周均耗用'!$A$1:$C$602,3,FALSE)</f>
        <v>#N/A</v>
      </c>
    </row>
    <row r="107" spans="1:9">
      <c r="A107" s="13" t="s">
        <v>219</v>
      </c>
      <c r="B107" s="14" t="s">
        <v>220</v>
      </c>
      <c r="C107" s="13">
        <v>397</v>
      </c>
      <c r="D107" s="7">
        <f>IFERROR(VLOOKUP(A107,'1227-29耗量'!$A$1:$C$602,3,FALSE),0)</f>
        <v>2</v>
      </c>
      <c r="E107" s="7">
        <f t="shared" si="2"/>
        <v>395</v>
      </c>
      <c r="F107" s="7" t="str">
        <f t="shared" si="3"/>
        <v>無資料</v>
      </c>
      <c r="G107" s="7" t="e">
        <f>VLOOKUP(A107,Sheet5!$A$2:$D$415,4,FALSE)</f>
        <v>#N/A</v>
      </c>
      <c r="H107" s="7" t="e">
        <f>VLOOKUP(A107,Sheet5!$A$2:$D$415,3,FALSE)</f>
        <v>#N/A</v>
      </c>
      <c r="I107" s="7">
        <f>VLOOKUP(A107,'1201-29周均耗用'!$A$1:$C$602,3,FALSE)</f>
        <v>58.2</v>
      </c>
    </row>
    <row r="108" spans="1:9">
      <c r="A108" s="13" t="s">
        <v>221</v>
      </c>
      <c r="B108" s="14" t="s">
        <v>222</v>
      </c>
      <c r="C108" s="13">
        <v>163</v>
      </c>
      <c r="D108" s="7">
        <f>VLOOKUP(A108,'1227-29耗量'!$A$1:$C$602,3,FALSE)</f>
        <v>5</v>
      </c>
      <c r="E108" s="7">
        <f t="shared" si="2"/>
        <v>158</v>
      </c>
      <c r="F108" s="7" t="str">
        <f t="shared" si="3"/>
        <v>錯誤</v>
      </c>
      <c r="G108" s="7">
        <f>VLOOKUP(A108,Sheet5!$A$2:$D$415,4,FALSE)</f>
        <v>98</v>
      </c>
      <c r="H108" s="7">
        <f>VLOOKUP(A108,Sheet5!$A$2:$D$415,3,FALSE)</f>
        <v>150</v>
      </c>
      <c r="I108" s="7">
        <f>VLOOKUP(A108,'1201-29周均耗用'!$A$1:$C$602,3,FALSE)</f>
        <v>37.2</v>
      </c>
    </row>
    <row r="109" spans="1:9">
      <c r="A109" s="13" t="s">
        <v>223</v>
      </c>
      <c r="B109" s="14" t="s">
        <v>224</v>
      </c>
      <c r="C109" s="13">
        <v>69</v>
      </c>
      <c r="D109" s="7">
        <f>IFERROR(VLOOKUP(A109,'1227-29耗量'!$A$1:$C$602,3,FALSE),0)</f>
        <v>1</v>
      </c>
      <c r="E109" s="7">
        <f t="shared" si="2"/>
        <v>68</v>
      </c>
      <c r="F109" s="7" t="str">
        <f t="shared" si="3"/>
        <v>無資料</v>
      </c>
      <c r="G109" s="7" t="e">
        <f>VLOOKUP(A109,Sheet5!$A$2:$D$415,4,FALSE)</f>
        <v>#N/A</v>
      </c>
      <c r="H109" s="7" t="e">
        <f>VLOOKUP(A109,Sheet5!$A$2:$D$415,3,FALSE)</f>
        <v>#N/A</v>
      </c>
      <c r="I109" s="7">
        <f>VLOOKUP(A109,'1201-29周均耗用'!$A$1:$C$602,3,FALSE)</f>
        <v>12</v>
      </c>
    </row>
    <row r="110" spans="1:9">
      <c r="A110" s="13" t="s">
        <v>225</v>
      </c>
      <c r="B110" s="14" t="s">
        <v>226</v>
      </c>
      <c r="C110" s="13">
        <v>436</v>
      </c>
      <c r="D110" s="7">
        <f>IFERROR(VLOOKUP(A110,'1227-29耗量'!$A$1:$C$602,3,FALSE),0)</f>
        <v>0</v>
      </c>
      <c r="E110" s="7">
        <f t="shared" si="2"/>
        <v>436</v>
      </c>
      <c r="F110" s="7" t="str">
        <f t="shared" si="3"/>
        <v>無資料</v>
      </c>
      <c r="G110" s="7" t="e">
        <f>VLOOKUP(A110,Sheet5!$A$2:$D$415,4,FALSE)</f>
        <v>#N/A</v>
      </c>
      <c r="H110" s="7" t="e">
        <f>VLOOKUP(A110,Sheet5!$A$2:$D$415,3,FALSE)</f>
        <v>#N/A</v>
      </c>
      <c r="I110" s="7">
        <f>VLOOKUP(A110,'1201-29周均耗用'!$A$1:$C$602,3,FALSE)</f>
        <v>44</v>
      </c>
    </row>
    <row r="111" spans="1:9">
      <c r="A111" s="13" t="s">
        <v>227</v>
      </c>
      <c r="B111" s="14" t="s">
        <v>228</v>
      </c>
      <c r="C111" s="13">
        <v>0</v>
      </c>
      <c r="D111" s="7">
        <f>IFERROR(VLOOKUP(A111,'1227-29耗量'!$A$1:$C$602,3,FALSE),0)</f>
        <v>0</v>
      </c>
      <c r="E111" s="7">
        <f t="shared" si="2"/>
        <v>0</v>
      </c>
      <c r="F111" s="7" t="str">
        <f t="shared" si="3"/>
        <v>無資料</v>
      </c>
      <c r="G111" s="7" t="e">
        <f>VLOOKUP(A111,Sheet5!$A$2:$D$415,4,FALSE)</f>
        <v>#N/A</v>
      </c>
      <c r="H111" s="7" t="e">
        <f>VLOOKUP(A111,Sheet5!$A$2:$D$415,3,FALSE)</f>
        <v>#N/A</v>
      </c>
      <c r="I111" s="7" t="e">
        <f>VLOOKUP(A111,'1201-29周均耗用'!$A$1:$C$602,3,FALSE)</f>
        <v>#N/A</v>
      </c>
    </row>
    <row r="112" spans="1:9">
      <c r="A112" s="13" t="s">
        <v>229</v>
      </c>
      <c r="B112" s="14" t="s">
        <v>230</v>
      </c>
      <c r="C112" s="13">
        <v>1843</v>
      </c>
      <c r="D112" s="7">
        <f>IFERROR(VLOOKUP(A112,'1227-29耗量'!$A$1:$C$602,3,FALSE),0)</f>
        <v>52</v>
      </c>
      <c r="E112" s="7">
        <f t="shared" si="2"/>
        <v>1791</v>
      </c>
      <c r="F112" s="7" t="str">
        <f t="shared" si="3"/>
        <v>無資料</v>
      </c>
      <c r="G112" s="7" t="e">
        <f>VLOOKUP(A112,Sheet5!$A$2:$D$415,4,FALSE)</f>
        <v>#N/A</v>
      </c>
      <c r="H112" s="7" t="e">
        <f>VLOOKUP(A112,Sheet5!$A$2:$D$415,3,FALSE)</f>
        <v>#N/A</v>
      </c>
      <c r="I112" s="7">
        <f>VLOOKUP(A112,'1201-29周均耗用'!$A$1:$C$602,3,FALSE)</f>
        <v>304.5</v>
      </c>
    </row>
    <row r="113" spans="1:9">
      <c r="A113" s="13" t="s">
        <v>231</v>
      </c>
      <c r="B113" s="14" t="s">
        <v>232</v>
      </c>
      <c r="C113" s="13">
        <v>549</v>
      </c>
      <c r="D113" s="7">
        <f>VLOOKUP(A113,'1227-29耗量'!$A$1:$C$602,3,FALSE)</f>
        <v>44</v>
      </c>
      <c r="E113" s="7">
        <f t="shared" si="2"/>
        <v>505</v>
      </c>
      <c r="F113" s="7" t="str">
        <f t="shared" si="3"/>
        <v>錯誤</v>
      </c>
      <c r="G113" s="7">
        <f>VLOOKUP(A113,Sheet5!$A$2:$D$415,4,FALSE)</f>
        <v>170</v>
      </c>
      <c r="H113" s="7">
        <f>VLOOKUP(A113,Sheet5!$A$2:$D$415,3,FALSE)</f>
        <v>750</v>
      </c>
      <c r="I113" s="7">
        <f>VLOOKUP(A113,'1201-29周均耗用'!$A$1:$C$602,3,FALSE)</f>
        <v>196</v>
      </c>
    </row>
    <row r="114" spans="1:9">
      <c r="A114" s="13" t="s">
        <v>233</v>
      </c>
      <c r="B114" s="14" t="s">
        <v>234</v>
      </c>
      <c r="C114" s="13">
        <v>285</v>
      </c>
      <c r="D114" s="7">
        <f>IFERROR(VLOOKUP(A114,'1227-29耗量'!$A$1:$C$602,3,FALSE),0)</f>
        <v>-2</v>
      </c>
      <c r="E114" s="7">
        <f t="shared" si="2"/>
        <v>287</v>
      </c>
      <c r="F114" s="7" t="str">
        <f t="shared" si="3"/>
        <v>無資料</v>
      </c>
      <c r="G114" s="7" t="e">
        <f>VLOOKUP(A114,Sheet5!$A$2:$D$415,4,FALSE)</f>
        <v>#N/A</v>
      </c>
      <c r="H114" s="7" t="e">
        <f>VLOOKUP(A114,Sheet5!$A$2:$D$415,3,FALSE)</f>
        <v>#N/A</v>
      </c>
      <c r="I114" s="7">
        <f>VLOOKUP(A114,'1201-29周均耗用'!$A$1:$C$602,3,FALSE)</f>
        <v>2.8</v>
      </c>
    </row>
    <row r="115" spans="1:9">
      <c r="A115" s="13" t="s">
        <v>235</v>
      </c>
      <c r="B115" s="14" t="s">
        <v>236</v>
      </c>
      <c r="C115" s="13">
        <v>0</v>
      </c>
      <c r="D115" s="7">
        <f>IFERROR(VLOOKUP(A115,'1227-29耗量'!$A$1:$C$602,3,FALSE),0)</f>
        <v>0</v>
      </c>
      <c r="E115" s="7">
        <f t="shared" si="2"/>
        <v>0</v>
      </c>
      <c r="F115" s="7" t="str">
        <f t="shared" si="3"/>
        <v>無資料</v>
      </c>
      <c r="G115" s="7" t="e">
        <f>VLOOKUP(A115,Sheet5!$A$2:$D$415,4,FALSE)</f>
        <v>#N/A</v>
      </c>
      <c r="H115" s="7" t="e">
        <f>VLOOKUP(A115,Sheet5!$A$2:$D$415,3,FALSE)</f>
        <v>#N/A</v>
      </c>
      <c r="I115" s="7" t="e">
        <f>VLOOKUP(A115,'1201-29周均耗用'!$A$1:$C$602,3,FALSE)</f>
        <v>#N/A</v>
      </c>
    </row>
    <row r="116" spans="1:9">
      <c r="A116" s="13" t="s">
        <v>237</v>
      </c>
      <c r="B116" s="14" t="s">
        <v>238</v>
      </c>
      <c r="C116" s="13">
        <v>0</v>
      </c>
      <c r="D116" s="7">
        <f>IFERROR(VLOOKUP(A116,'1227-29耗量'!$A$1:$C$602,3,FALSE),0)</f>
        <v>0</v>
      </c>
      <c r="E116" s="7">
        <f t="shared" si="2"/>
        <v>0</v>
      </c>
      <c r="F116" s="7" t="str">
        <f t="shared" si="3"/>
        <v>無資料</v>
      </c>
      <c r="G116" s="7" t="e">
        <f>VLOOKUP(A116,Sheet5!$A$2:$D$415,4,FALSE)</f>
        <v>#N/A</v>
      </c>
      <c r="H116" s="7" t="e">
        <f>VLOOKUP(A116,Sheet5!$A$2:$D$415,3,FALSE)</f>
        <v>#N/A</v>
      </c>
      <c r="I116" s="7" t="e">
        <f>VLOOKUP(A116,'1201-29周均耗用'!$A$1:$C$602,3,FALSE)</f>
        <v>#N/A</v>
      </c>
    </row>
    <row r="117" spans="1:9">
      <c r="A117" s="13" t="s">
        <v>239</v>
      </c>
      <c r="B117" s="14" t="s">
        <v>240</v>
      </c>
      <c r="C117" s="13">
        <v>16</v>
      </c>
      <c r="D117" s="7">
        <f>IFERROR(VLOOKUP(A117,'1227-29耗量'!$A$1:$C$602,3,FALSE),0)</f>
        <v>0</v>
      </c>
      <c r="E117" s="7">
        <f t="shared" si="2"/>
        <v>16</v>
      </c>
      <c r="F117" s="7" t="str">
        <f t="shared" si="3"/>
        <v>無資料</v>
      </c>
      <c r="G117" s="7" t="e">
        <f>VLOOKUP(A117,Sheet5!$A$2:$D$415,4,FALSE)</f>
        <v>#N/A</v>
      </c>
      <c r="H117" s="7" t="e">
        <f>VLOOKUP(A117,Sheet5!$A$2:$D$415,3,FALSE)</f>
        <v>#N/A</v>
      </c>
      <c r="I117" s="7" t="e">
        <f>VLOOKUP(A117,'1201-29周均耗用'!$A$1:$C$602,3,FALSE)</f>
        <v>#N/A</v>
      </c>
    </row>
    <row r="118" spans="1:9">
      <c r="A118" s="13" t="s">
        <v>241</v>
      </c>
      <c r="B118" s="14" t="s">
        <v>242</v>
      </c>
      <c r="C118" s="13">
        <v>17</v>
      </c>
      <c r="D118" s="7">
        <f>IFERROR(VLOOKUP(A118,'1227-29耗量'!$A$1:$C$602,3,FALSE),0)</f>
        <v>0</v>
      </c>
      <c r="E118" s="7">
        <f t="shared" si="2"/>
        <v>17</v>
      </c>
      <c r="F118" s="7" t="str">
        <f t="shared" si="3"/>
        <v>無資料</v>
      </c>
      <c r="G118" s="7" t="e">
        <f>VLOOKUP(A118,Sheet5!$A$2:$D$415,4,FALSE)</f>
        <v>#N/A</v>
      </c>
      <c r="H118" s="7" t="e">
        <f>VLOOKUP(A118,Sheet5!$A$2:$D$415,3,FALSE)</f>
        <v>#N/A</v>
      </c>
      <c r="I118" s="7" t="e">
        <f>VLOOKUP(A118,'1201-29周均耗用'!$A$1:$C$602,3,FALSE)</f>
        <v>#N/A</v>
      </c>
    </row>
    <row r="119" spans="1:9">
      <c r="A119" s="13" t="s">
        <v>243</v>
      </c>
      <c r="B119" s="14" t="s">
        <v>244</v>
      </c>
      <c r="C119" s="13">
        <v>16</v>
      </c>
      <c r="D119" s="7">
        <f>IFERROR(VLOOKUP(A119,'1227-29耗量'!$A$1:$C$602,3,FALSE),0)</f>
        <v>3</v>
      </c>
      <c r="E119" s="7">
        <f t="shared" si="2"/>
        <v>13</v>
      </c>
      <c r="F119" s="7" t="str">
        <f t="shared" si="3"/>
        <v>無資料</v>
      </c>
      <c r="G119" s="7" t="e">
        <f>VLOOKUP(A119,Sheet5!$A$2:$D$415,4,FALSE)</f>
        <v>#N/A</v>
      </c>
      <c r="H119" s="7" t="e">
        <f>VLOOKUP(A119,Sheet5!$A$2:$D$415,3,FALSE)</f>
        <v>#N/A</v>
      </c>
      <c r="I119" s="7">
        <f>VLOOKUP(A119,'1201-29周均耗用'!$A$1:$C$602,3,FALSE)</f>
        <v>13.2</v>
      </c>
    </row>
    <row r="120" spans="1:9">
      <c r="A120" s="13" t="s">
        <v>245</v>
      </c>
      <c r="B120" s="14" t="s">
        <v>246</v>
      </c>
      <c r="C120" s="13">
        <v>111</v>
      </c>
      <c r="D120" s="7">
        <f>IFERROR(VLOOKUP(A120,'1227-29耗量'!$A$1:$C$602,3,FALSE),0)</f>
        <v>0</v>
      </c>
      <c r="E120" s="7">
        <f t="shared" si="2"/>
        <v>111</v>
      </c>
      <c r="F120" s="7" t="str">
        <f t="shared" si="3"/>
        <v>錯誤</v>
      </c>
      <c r="G120" s="7">
        <f>VLOOKUP(A120,Sheet5!$A$2:$D$415,4,FALSE)</f>
        <v>36</v>
      </c>
      <c r="H120" s="7">
        <f>VLOOKUP(A120,Sheet5!$A$2:$D$415,3,FALSE)</f>
        <v>50</v>
      </c>
      <c r="I120" s="7">
        <f>VLOOKUP(A120,'1201-29周均耗用'!$A$1:$C$602,3,FALSE)</f>
        <v>14</v>
      </c>
    </row>
    <row r="121" spans="1:9">
      <c r="A121" s="13" t="s">
        <v>247</v>
      </c>
      <c r="B121" s="14" t="s">
        <v>248</v>
      </c>
      <c r="C121" s="13">
        <v>254</v>
      </c>
      <c r="D121" s="7">
        <f>VLOOKUP(A121,'1227-29耗量'!$A$1:$C$602,3,FALSE)</f>
        <v>24</v>
      </c>
      <c r="E121" s="7">
        <f t="shared" si="2"/>
        <v>230</v>
      </c>
      <c r="F121" s="7" t="str">
        <f t="shared" si="3"/>
        <v>錯誤</v>
      </c>
      <c r="G121" s="7">
        <f>VLOOKUP(A121,Sheet5!$A$2:$D$415,4,FALSE)</f>
        <v>146</v>
      </c>
      <c r="H121" s="7">
        <f>VLOOKUP(A121,Sheet5!$A$2:$D$415,3,FALSE)</f>
        <v>360</v>
      </c>
      <c r="I121" s="7">
        <f>VLOOKUP(A121,'1201-29周均耗用'!$A$1:$C$602,3,FALSE)</f>
        <v>100</v>
      </c>
    </row>
    <row r="122" spans="1:9">
      <c r="A122" s="13" t="s">
        <v>249</v>
      </c>
      <c r="B122" s="14" t="s">
        <v>250</v>
      </c>
      <c r="C122" s="13">
        <v>0</v>
      </c>
      <c r="D122" s="7">
        <f>IFERROR(VLOOKUP(A122,'1227-29耗量'!$A$1:$C$602,3,FALSE),0)</f>
        <v>0</v>
      </c>
      <c r="E122" s="7">
        <f t="shared" si="2"/>
        <v>0</v>
      </c>
      <c r="F122" s="7" t="str">
        <f t="shared" si="3"/>
        <v>無資料</v>
      </c>
      <c r="G122" s="7" t="e">
        <f>VLOOKUP(A122,Sheet5!$A$2:$D$415,4,FALSE)</f>
        <v>#N/A</v>
      </c>
      <c r="H122" s="7" t="e">
        <f>VLOOKUP(A122,Sheet5!$A$2:$D$415,3,FALSE)</f>
        <v>#N/A</v>
      </c>
      <c r="I122" s="7" t="e">
        <f>VLOOKUP(A122,'1201-29周均耗用'!$A$1:$C$602,3,FALSE)</f>
        <v>#N/A</v>
      </c>
    </row>
    <row r="123" spans="1:9">
      <c r="A123" s="13" t="s">
        <v>251</v>
      </c>
      <c r="B123" s="14" t="s">
        <v>252</v>
      </c>
      <c r="C123" s="13">
        <v>0</v>
      </c>
      <c r="D123" s="7">
        <f>IFERROR(VLOOKUP(A123,'1227-29耗量'!$A$1:$C$602,3,FALSE),0)</f>
        <v>0</v>
      </c>
      <c r="E123" s="7">
        <f t="shared" si="2"/>
        <v>0</v>
      </c>
      <c r="F123" s="7" t="str">
        <f t="shared" si="3"/>
        <v>無資料</v>
      </c>
      <c r="G123" s="7" t="e">
        <f>VLOOKUP(A123,Sheet5!$A$2:$D$415,4,FALSE)</f>
        <v>#N/A</v>
      </c>
      <c r="H123" s="7" t="e">
        <f>VLOOKUP(A123,Sheet5!$A$2:$D$415,3,FALSE)</f>
        <v>#N/A</v>
      </c>
      <c r="I123" s="7" t="e">
        <f>VLOOKUP(A123,'1201-29周均耗用'!$A$1:$C$602,3,FALSE)</f>
        <v>#N/A</v>
      </c>
    </row>
    <row r="124" spans="1:9">
      <c r="A124" s="13" t="s">
        <v>253</v>
      </c>
      <c r="B124" s="14" t="s">
        <v>254</v>
      </c>
      <c r="C124" s="13">
        <v>0</v>
      </c>
      <c r="D124" s="7">
        <f>IFERROR(VLOOKUP(A124,'1227-29耗量'!$A$1:$C$602,3,FALSE),0)</f>
        <v>0</v>
      </c>
      <c r="E124" s="7">
        <f t="shared" si="2"/>
        <v>0</v>
      </c>
      <c r="F124" s="7" t="str">
        <f t="shared" si="3"/>
        <v>無資料</v>
      </c>
      <c r="G124" s="7" t="e">
        <f>VLOOKUP(A124,Sheet5!$A$2:$D$415,4,FALSE)</f>
        <v>#N/A</v>
      </c>
      <c r="H124" s="7" t="e">
        <f>VLOOKUP(A124,Sheet5!$A$2:$D$415,3,FALSE)</f>
        <v>#N/A</v>
      </c>
      <c r="I124" s="7" t="e">
        <f>VLOOKUP(A124,'1201-29周均耗用'!$A$1:$C$602,3,FALSE)</f>
        <v>#N/A</v>
      </c>
    </row>
    <row r="125" spans="1:9">
      <c r="A125" s="13" t="s">
        <v>255</v>
      </c>
      <c r="B125" s="14" t="s">
        <v>256</v>
      </c>
      <c r="C125" s="13">
        <v>104</v>
      </c>
      <c r="D125" s="7">
        <f>IFERROR(VLOOKUP(A125,'1227-29耗量'!$A$1:$C$602,3,FALSE),0)</f>
        <v>0</v>
      </c>
      <c r="E125" s="7">
        <f t="shared" si="2"/>
        <v>104</v>
      </c>
      <c r="F125" s="7" t="str">
        <f t="shared" si="3"/>
        <v>無資料</v>
      </c>
      <c r="G125" s="7" t="e">
        <f>VLOOKUP(A125,Sheet5!$A$2:$D$415,4,FALSE)</f>
        <v>#N/A</v>
      </c>
      <c r="H125" s="7" t="e">
        <f>VLOOKUP(A125,Sheet5!$A$2:$D$415,3,FALSE)</f>
        <v>#N/A</v>
      </c>
      <c r="I125" s="7">
        <f>VLOOKUP(A125,'1201-29周均耗用'!$A$1:$C$602,3,FALSE)</f>
        <v>3.2</v>
      </c>
    </row>
    <row r="126" spans="1:9">
      <c r="A126" s="13" t="s">
        <v>257</v>
      </c>
      <c r="B126" s="14" t="s">
        <v>258</v>
      </c>
      <c r="C126" s="13">
        <v>1062</v>
      </c>
      <c r="D126" s="7">
        <f>VLOOKUP(A126,'1227-29耗量'!$A$1:$C$602,3,FALSE)</f>
        <v>66</v>
      </c>
      <c r="E126" s="7">
        <f t="shared" si="2"/>
        <v>996</v>
      </c>
      <c r="F126" s="7" t="str">
        <f t="shared" si="3"/>
        <v>錯誤</v>
      </c>
      <c r="G126" s="7">
        <f>VLOOKUP(A126,Sheet5!$A$2:$D$415,4,FALSE)</f>
        <v>172</v>
      </c>
      <c r="H126" s="7">
        <f>VLOOKUP(A126,Sheet5!$A$2:$D$415,3,FALSE)</f>
        <v>1000</v>
      </c>
      <c r="I126" s="7">
        <f>VLOOKUP(A126,'1201-29周均耗用'!$A$1:$C$602,3,FALSE)</f>
        <v>201.8</v>
      </c>
    </row>
    <row r="127" spans="1:9">
      <c r="A127" s="13" t="s">
        <v>259</v>
      </c>
      <c r="B127" s="14" t="s">
        <v>260</v>
      </c>
      <c r="C127" s="13">
        <v>273</v>
      </c>
      <c r="D127" s="7">
        <f>VLOOKUP(A127,'1227-29耗量'!$A$1:$C$602,3,FALSE)</f>
        <v>47</v>
      </c>
      <c r="E127" s="7">
        <f t="shared" si="2"/>
        <v>226</v>
      </c>
      <c r="F127" s="7" t="str">
        <f t="shared" si="3"/>
        <v>錯誤</v>
      </c>
      <c r="G127" s="7">
        <f>VLOOKUP(A127,Sheet5!$A$2:$D$415,4,FALSE)</f>
        <v>40</v>
      </c>
      <c r="H127" s="7">
        <f>VLOOKUP(A127,Sheet5!$A$2:$D$415,3,FALSE)</f>
        <v>360</v>
      </c>
      <c r="I127" s="7">
        <f>VLOOKUP(A127,'1201-29周均耗用'!$A$1:$C$602,3,FALSE)</f>
        <v>134</v>
      </c>
    </row>
    <row r="128" spans="1:9">
      <c r="A128" s="13" t="s">
        <v>261</v>
      </c>
      <c r="B128" s="14" t="s">
        <v>262</v>
      </c>
      <c r="C128" s="13">
        <v>55</v>
      </c>
      <c r="D128" s="7">
        <f>IFERROR(VLOOKUP(A128,'1227-29耗量'!$A$1:$C$602,3,FALSE),0)</f>
        <v>0</v>
      </c>
      <c r="E128" s="7">
        <f t="shared" si="2"/>
        <v>55</v>
      </c>
      <c r="F128" s="7" t="str">
        <f t="shared" si="3"/>
        <v>無資料</v>
      </c>
      <c r="G128" s="7" t="e">
        <f>VLOOKUP(A128,Sheet5!$A$2:$D$415,4,FALSE)</f>
        <v>#N/A</v>
      </c>
      <c r="H128" s="7" t="e">
        <f>VLOOKUP(A128,Sheet5!$A$2:$D$415,3,FALSE)</f>
        <v>#N/A</v>
      </c>
      <c r="I128" s="7">
        <f>VLOOKUP(A128,'1201-29周均耗用'!$A$1:$C$602,3,FALSE)</f>
        <v>8.2</v>
      </c>
    </row>
    <row r="129" spans="1:9">
      <c r="A129" s="13" t="s">
        <v>263</v>
      </c>
      <c r="B129" s="14" t="s">
        <v>264</v>
      </c>
      <c r="C129" s="13">
        <v>0</v>
      </c>
      <c r="D129" s="7">
        <f>IFERROR(VLOOKUP(A129,'1227-29耗量'!$A$1:$C$602,3,FALSE),0)</f>
        <v>0</v>
      </c>
      <c r="E129" s="7">
        <f t="shared" si="2"/>
        <v>0</v>
      </c>
      <c r="F129" s="7" t="str">
        <f t="shared" si="3"/>
        <v>無資料</v>
      </c>
      <c r="G129" s="7" t="e">
        <f>VLOOKUP(A129,Sheet5!$A$2:$D$415,4,FALSE)</f>
        <v>#N/A</v>
      </c>
      <c r="H129" s="7" t="e">
        <f>VLOOKUP(A129,Sheet5!$A$2:$D$415,3,FALSE)</f>
        <v>#N/A</v>
      </c>
      <c r="I129" s="7" t="e">
        <f>VLOOKUP(A129,'1201-29周均耗用'!$A$1:$C$602,3,FALSE)</f>
        <v>#N/A</v>
      </c>
    </row>
    <row r="130" spans="1:9">
      <c r="A130" s="13" t="s">
        <v>265</v>
      </c>
      <c r="B130" s="14" t="s">
        <v>266</v>
      </c>
      <c r="C130" s="13">
        <v>366</v>
      </c>
      <c r="D130" s="7">
        <f>IFERROR(VLOOKUP(A130,'1227-29耗量'!$A$1:$C$602,3,FALSE),0)</f>
        <v>6</v>
      </c>
      <c r="E130" s="7">
        <f t="shared" si="2"/>
        <v>360</v>
      </c>
      <c r="F130" s="7" t="str">
        <f t="shared" si="3"/>
        <v>無資料</v>
      </c>
      <c r="G130" s="7" t="e">
        <f>VLOOKUP(A130,Sheet5!$A$2:$D$415,4,FALSE)</f>
        <v>#N/A</v>
      </c>
      <c r="H130" s="7" t="e">
        <f>VLOOKUP(A130,Sheet5!$A$2:$D$415,3,FALSE)</f>
        <v>#N/A</v>
      </c>
      <c r="I130" s="7">
        <f>VLOOKUP(A130,'1201-29周均耗用'!$A$1:$C$602,3,FALSE)</f>
        <v>81.8</v>
      </c>
    </row>
    <row r="131" spans="1:9">
      <c r="A131" s="13" t="s">
        <v>267</v>
      </c>
      <c r="B131" s="14" t="s">
        <v>268</v>
      </c>
      <c r="C131" s="13">
        <v>788</v>
      </c>
      <c r="D131" s="7">
        <f>VLOOKUP(A131,'1227-29耗量'!$A$1:$C$602,3,FALSE)</f>
        <v>35</v>
      </c>
      <c r="E131" s="7">
        <f t="shared" ref="E131:E194" si="4">C131-D131</f>
        <v>753</v>
      </c>
      <c r="F131" s="7" t="str">
        <f t="shared" ref="F131:F194" si="5">IFERROR(IF(E131=G131,"OK","錯誤"),"無資料")</f>
        <v>錯誤</v>
      </c>
      <c r="G131" s="7">
        <f>VLOOKUP(A131,Sheet5!$A$2:$D$415,4,FALSE)</f>
        <v>893</v>
      </c>
      <c r="H131" s="7">
        <f>VLOOKUP(A131,Sheet5!$A$2:$D$415,3,FALSE)</f>
        <v>500</v>
      </c>
      <c r="I131" s="7">
        <f>VLOOKUP(A131,'1201-29周均耗用'!$A$1:$C$602,3,FALSE)</f>
        <v>144.5</v>
      </c>
    </row>
    <row r="132" spans="1:9">
      <c r="A132" s="13" t="s">
        <v>269</v>
      </c>
      <c r="B132" s="14" t="s">
        <v>270</v>
      </c>
      <c r="C132" s="13">
        <v>0</v>
      </c>
      <c r="D132" s="7">
        <f>IFERROR(VLOOKUP(A132,'1227-29耗量'!$A$1:$C$602,3,FALSE),0)</f>
        <v>0</v>
      </c>
      <c r="E132" s="7">
        <f t="shared" si="4"/>
        <v>0</v>
      </c>
      <c r="F132" s="7" t="str">
        <f t="shared" si="5"/>
        <v>無資料</v>
      </c>
      <c r="G132" s="7" t="e">
        <f>VLOOKUP(A132,Sheet5!$A$2:$D$415,4,FALSE)</f>
        <v>#N/A</v>
      </c>
      <c r="H132" s="7" t="e">
        <f>VLOOKUP(A132,Sheet5!$A$2:$D$415,3,FALSE)</f>
        <v>#N/A</v>
      </c>
      <c r="I132" s="7">
        <f>VLOOKUP(A132,'1201-29周均耗用'!$A$1:$C$602,3,FALSE)</f>
        <v>0</v>
      </c>
    </row>
    <row r="133" spans="1:9">
      <c r="A133" s="13" t="s">
        <v>271</v>
      </c>
      <c r="B133" s="14" t="s">
        <v>272</v>
      </c>
      <c r="C133" s="13">
        <v>0</v>
      </c>
      <c r="D133" s="7">
        <f>IFERROR(VLOOKUP(A133,'1227-29耗量'!$A$1:$C$602,3,FALSE),0)</f>
        <v>0</v>
      </c>
      <c r="E133" s="7">
        <f t="shared" si="4"/>
        <v>0</v>
      </c>
      <c r="F133" s="7" t="str">
        <f t="shared" si="5"/>
        <v>無資料</v>
      </c>
      <c r="G133" s="7" t="e">
        <f>VLOOKUP(A133,Sheet5!$A$2:$D$415,4,FALSE)</f>
        <v>#N/A</v>
      </c>
      <c r="H133" s="7" t="e">
        <f>VLOOKUP(A133,Sheet5!$A$2:$D$415,3,FALSE)</f>
        <v>#N/A</v>
      </c>
      <c r="I133" s="7">
        <f>VLOOKUP(A133,'1201-29周均耗用'!$A$1:$C$602,3,FALSE)</f>
        <v>0.2</v>
      </c>
    </row>
    <row r="134" spans="1:9">
      <c r="A134" s="13" t="s">
        <v>273</v>
      </c>
      <c r="B134" s="14" t="s">
        <v>274</v>
      </c>
      <c r="C134" s="13">
        <v>0</v>
      </c>
      <c r="D134" s="7">
        <f>IFERROR(VLOOKUP(A134,'1227-29耗量'!$A$1:$C$602,3,FALSE),0)</f>
        <v>0</v>
      </c>
      <c r="E134" s="7">
        <f t="shared" si="4"/>
        <v>0</v>
      </c>
      <c r="F134" s="7" t="str">
        <f t="shared" si="5"/>
        <v>無資料</v>
      </c>
      <c r="G134" s="7" t="e">
        <f>VLOOKUP(A134,Sheet5!$A$2:$D$415,4,FALSE)</f>
        <v>#N/A</v>
      </c>
      <c r="H134" s="7" t="e">
        <f>VLOOKUP(A134,Sheet5!$A$2:$D$415,3,FALSE)</f>
        <v>#N/A</v>
      </c>
      <c r="I134" s="7" t="e">
        <f>VLOOKUP(A134,'1201-29周均耗用'!$A$1:$C$602,3,FALSE)</f>
        <v>#N/A</v>
      </c>
    </row>
    <row r="135" spans="1:9">
      <c r="A135" s="13" t="s">
        <v>275</v>
      </c>
      <c r="B135" s="14" t="s">
        <v>276</v>
      </c>
      <c r="C135" s="13">
        <v>0</v>
      </c>
      <c r="D135" s="7">
        <f>IFERROR(VLOOKUP(A135,'1227-29耗量'!$A$1:$C$602,3,FALSE),0)</f>
        <v>0</v>
      </c>
      <c r="E135" s="7">
        <f t="shared" si="4"/>
        <v>0</v>
      </c>
      <c r="F135" s="7" t="str">
        <f t="shared" si="5"/>
        <v>無資料</v>
      </c>
      <c r="G135" s="7" t="e">
        <f>VLOOKUP(A135,Sheet5!$A$2:$D$415,4,FALSE)</f>
        <v>#N/A</v>
      </c>
      <c r="H135" s="7" t="e">
        <f>VLOOKUP(A135,Sheet5!$A$2:$D$415,3,FALSE)</f>
        <v>#N/A</v>
      </c>
      <c r="I135" s="7" t="e">
        <f>VLOOKUP(A135,'1201-29周均耗用'!$A$1:$C$602,3,FALSE)</f>
        <v>#N/A</v>
      </c>
    </row>
    <row r="136" spans="1:9">
      <c r="A136" s="13" t="s">
        <v>277</v>
      </c>
      <c r="B136" s="14" t="s">
        <v>278</v>
      </c>
      <c r="C136" s="13">
        <v>7</v>
      </c>
      <c r="D136" s="7">
        <f>IFERROR(VLOOKUP(A136,'1227-29耗量'!$A$1:$C$602,3,FALSE),0)</f>
        <v>0</v>
      </c>
      <c r="E136" s="7">
        <f t="shared" si="4"/>
        <v>7</v>
      </c>
      <c r="F136" s="7" t="str">
        <f t="shared" si="5"/>
        <v>無資料</v>
      </c>
      <c r="G136" s="7" t="e">
        <f>VLOOKUP(A136,Sheet5!$A$2:$D$415,4,FALSE)</f>
        <v>#N/A</v>
      </c>
      <c r="H136" s="7" t="e">
        <f>VLOOKUP(A136,Sheet5!$A$2:$D$415,3,FALSE)</f>
        <v>#N/A</v>
      </c>
      <c r="I136" s="7">
        <f>VLOOKUP(A136,'1201-29周均耗用'!$A$1:$C$602,3,FALSE)</f>
        <v>0</v>
      </c>
    </row>
    <row r="137" spans="1:9">
      <c r="A137" s="13" t="s">
        <v>279</v>
      </c>
      <c r="B137" s="14" t="s">
        <v>280</v>
      </c>
      <c r="C137" s="13">
        <v>21</v>
      </c>
      <c r="D137" s="7">
        <f>IFERROR(VLOOKUP(A137,'1227-29耗量'!$A$1:$C$602,3,FALSE),0)</f>
        <v>0</v>
      </c>
      <c r="E137" s="7">
        <f t="shared" si="4"/>
        <v>21</v>
      </c>
      <c r="F137" s="7" t="str">
        <f t="shared" si="5"/>
        <v>錯誤</v>
      </c>
      <c r="G137" s="7">
        <f>VLOOKUP(A137,Sheet5!$A$2:$D$415,4,FALSE)</f>
        <v>8</v>
      </c>
      <c r="H137" s="7">
        <f>VLOOKUP(A137,Sheet5!$A$2:$D$415,3,FALSE)</f>
        <v>12</v>
      </c>
      <c r="I137" s="7" t="e">
        <f>VLOOKUP(A137,'1201-29周均耗用'!$A$1:$C$602,3,FALSE)</f>
        <v>#N/A</v>
      </c>
    </row>
    <row r="138" spans="1:9">
      <c r="A138" s="13" t="s">
        <v>281</v>
      </c>
      <c r="B138" s="14" t="s">
        <v>282</v>
      </c>
      <c r="C138" s="13">
        <v>0</v>
      </c>
      <c r="D138" s="7">
        <f>IFERROR(VLOOKUP(A138,'1227-29耗量'!$A$1:$C$602,3,FALSE),0)</f>
        <v>0</v>
      </c>
      <c r="E138" s="7">
        <f t="shared" si="4"/>
        <v>0</v>
      </c>
      <c r="F138" s="7" t="str">
        <f t="shared" si="5"/>
        <v>無資料</v>
      </c>
      <c r="G138" s="7" t="e">
        <f>VLOOKUP(A138,Sheet5!$A$2:$D$415,4,FALSE)</f>
        <v>#N/A</v>
      </c>
      <c r="H138" s="7" t="e">
        <f>VLOOKUP(A138,Sheet5!$A$2:$D$415,3,FALSE)</f>
        <v>#N/A</v>
      </c>
      <c r="I138" s="7" t="e">
        <f>VLOOKUP(A138,'1201-29周均耗用'!$A$1:$C$602,3,FALSE)</f>
        <v>#N/A</v>
      </c>
    </row>
    <row r="139" spans="1:9">
      <c r="A139" s="13" t="s">
        <v>283</v>
      </c>
      <c r="B139" s="14" t="s">
        <v>284</v>
      </c>
      <c r="C139" s="13">
        <v>91</v>
      </c>
      <c r="D139" s="7">
        <f>VLOOKUP(A139,'1227-29耗量'!$A$1:$C$602,3,FALSE)</f>
        <v>2</v>
      </c>
      <c r="E139" s="7">
        <f t="shared" si="4"/>
        <v>89</v>
      </c>
      <c r="F139" s="7" t="str">
        <f t="shared" si="5"/>
        <v>錯誤</v>
      </c>
      <c r="G139" s="7">
        <f>VLOOKUP(A139,Sheet5!$A$2:$D$415,4,FALSE)</f>
        <v>39</v>
      </c>
      <c r="H139" s="7">
        <f>VLOOKUP(A139,Sheet5!$A$2:$D$415,3,FALSE)</f>
        <v>84</v>
      </c>
      <c r="I139" s="7">
        <f>VLOOKUP(A139,'1201-29周均耗用'!$A$1:$C$602,3,FALSE)</f>
        <v>37.2</v>
      </c>
    </row>
    <row r="140" spans="1:9">
      <c r="A140" s="13" t="s">
        <v>285</v>
      </c>
      <c r="B140" s="14" t="s">
        <v>286</v>
      </c>
      <c r="C140" s="13">
        <v>350</v>
      </c>
      <c r="D140" s="7">
        <f>VLOOKUP(A140,'1227-29耗量'!$A$1:$C$602,3,FALSE)</f>
        <v>3</v>
      </c>
      <c r="E140" s="7">
        <f t="shared" si="4"/>
        <v>347</v>
      </c>
      <c r="F140" s="7" t="str">
        <f t="shared" si="5"/>
        <v>錯誤</v>
      </c>
      <c r="G140" s="7">
        <f>VLOOKUP(A140,Sheet5!$A$2:$D$415,4,FALSE)</f>
        <v>135</v>
      </c>
      <c r="H140" s="7">
        <f>VLOOKUP(A140,Sheet5!$A$2:$D$415,3,FALSE)</f>
        <v>252</v>
      </c>
      <c r="I140" s="7">
        <f>VLOOKUP(A140,'1201-29周均耗用'!$A$1:$C$602,3,FALSE)</f>
        <v>37</v>
      </c>
    </row>
    <row r="141" spans="1:9">
      <c r="A141" s="13" t="s">
        <v>287</v>
      </c>
      <c r="B141" s="14" t="s">
        <v>288</v>
      </c>
      <c r="C141" s="13">
        <v>381</v>
      </c>
      <c r="D141" s="7">
        <f>IFERROR(VLOOKUP(A141,'1227-29耗量'!$A$1:$C$602,3,FALSE),0)</f>
        <v>5</v>
      </c>
      <c r="E141" s="7">
        <f t="shared" si="4"/>
        <v>376</v>
      </c>
      <c r="F141" s="7" t="str">
        <f t="shared" si="5"/>
        <v>無資料</v>
      </c>
      <c r="G141" s="7" t="e">
        <f>VLOOKUP(A141,Sheet5!$A$2:$D$415,4,FALSE)</f>
        <v>#N/A</v>
      </c>
      <c r="H141" s="7" t="e">
        <f>VLOOKUP(A141,Sheet5!$A$2:$D$415,3,FALSE)</f>
        <v>#N/A</v>
      </c>
      <c r="I141" s="7">
        <f>VLOOKUP(A141,'1201-29周均耗用'!$A$1:$C$602,3,FALSE)</f>
        <v>14</v>
      </c>
    </row>
    <row r="142" spans="1:9">
      <c r="A142" s="13" t="s">
        <v>289</v>
      </c>
      <c r="B142" s="14" t="s">
        <v>290</v>
      </c>
      <c r="C142" s="13">
        <v>0</v>
      </c>
      <c r="D142" s="7">
        <f>IFERROR(VLOOKUP(A142,'1227-29耗量'!$A$1:$C$602,3,FALSE),0)</f>
        <v>0</v>
      </c>
      <c r="E142" s="7">
        <f t="shared" si="4"/>
        <v>0</v>
      </c>
      <c r="F142" s="7" t="str">
        <f t="shared" si="5"/>
        <v>錯誤</v>
      </c>
      <c r="G142" s="7">
        <f>VLOOKUP(A142,Sheet5!$A$2:$D$415,4,FALSE)</f>
        <v>-1</v>
      </c>
      <c r="H142" s="7">
        <f>VLOOKUP(A142,Sheet5!$A$2:$D$415,3,FALSE)</f>
        <v>2</v>
      </c>
      <c r="I142" s="7" t="e">
        <f>VLOOKUP(A142,'1201-29周均耗用'!$A$1:$C$602,3,FALSE)</f>
        <v>#N/A</v>
      </c>
    </row>
    <row r="143" spans="1:9">
      <c r="A143" s="13" t="s">
        <v>291</v>
      </c>
      <c r="B143" s="14" t="s">
        <v>292</v>
      </c>
      <c r="C143" s="13">
        <v>14</v>
      </c>
      <c r="D143" s="7">
        <f>IFERROR(VLOOKUP(A143,'1227-29耗量'!$A$1:$C$602,3,FALSE),0)</f>
        <v>0</v>
      </c>
      <c r="E143" s="7">
        <f t="shared" si="4"/>
        <v>14</v>
      </c>
      <c r="F143" s="7" t="str">
        <f t="shared" si="5"/>
        <v>無資料</v>
      </c>
      <c r="G143" s="7" t="e">
        <f>VLOOKUP(A143,Sheet5!$A$2:$D$415,4,FALSE)</f>
        <v>#N/A</v>
      </c>
      <c r="H143" s="7" t="e">
        <f>VLOOKUP(A143,Sheet5!$A$2:$D$415,3,FALSE)</f>
        <v>#N/A</v>
      </c>
      <c r="I143" s="7" t="e">
        <f>VLOOKUP(A143,'1201-29周均耗用'!$A$1:$C$602,3,FALSE)</f>
        <v>#N/A</v>
      </c>
    </row>
    <row r="144" spans="1:9">
      <c r="A144" s="13" t="s">
        <v>293</v>
      </c>
      <c r="B144" s="14" t="s">
        <v>294</v>
      </c>
      <c r="C144" s="13">
        <v>0</v>
      </c>
      <c r="D144" s="7">
        <f>IFERROR(VLOOKUP(A144,'1227-29耗量'!$A$1:$C$602,3,FALSE),0)</f>
        <v>0</v>
      </c>
      <c r="E144" s="7">
        <f t="shared" si="4"/>
        <v>0</v>
      </c>
      <c r="F144" s="7" t="str">
        <f t="shared" si="5"/>
        <v>無資料</v>
      </c>
      <c r="G144" s="7" t="e">
        <f>VLOOKUP(A144,Sheet5!$A$2:$D$415,4,FALSE)</f>
        <v>#N/A</v>
      </c>
      <c r="H144" s="7" t="e">
        <f>VLOOKUP(A144,Sheet5!$A$2:$D$415,3,FALSE)</f>
        <v>#N/A</v>
      </c>
      <c r="I144" s="7" t="e">
        <f>VLOOKUP(A144,'1201-29周均耗用'!$A$1:$C$602,3,FALSE)</f>
        <v>#N/A</v>
      </c>
    </row>
    <row r="145" spans="1:9">
      <c r="A145" s="13" t="s">
        <v>295</v>
      </c>
      <c r="B145" s="14" t="s">
        <v>296</v>
      </c>
      <c r="C145" s="13">
        <v>0</v>
      </c>
      <c r="D145" s="7">
        <f>IFERROR(VLOOKUP(A145,'1227-29耗量'!$A$1:$C$602,3,FALSE),0)</f>
        <v>0</v>
      </c>
      <c r="E145" s="7">
        <f t="shared" si="4"/>
        <v>0</v>
      </c>
      <c r="F145" s="7" t="str">
        <f t="shared" si="5"/>
        <v>無資料</v>
      </c>
      <c r="G145" s="7" t="e">
        <f>VLOOKUP(A145,Sheet5!$A$2:$D$415,4,FALSE)</f>
        <v>#N/A</v>
      </c>
      <c r="H145" s="7" t="e">
        <f>VLOOKUP(A145,Sheet5!$A$2:$D$415,3,FALSE)</f>
        <v>#N/A</v>
      </c>
      <c r="I145" s="7" t="e">
        <f>VLOOKUP(A145,'1201-29周均耗用'!$A$1:$C$602,3,FALSE)</f>
        <v>#N/A</v>
      </c>
    </row>
    <row r="146" spans="1:9">
      <c r="A146" s="13" t="s">
        <v>297</v>
      </c>
      <c r="B146" s="14" t="s">
        <v>298</v>
      </c>
      <c r="C146" s="13">
        <v>0</v>
      </c>
      <c r="D146" s="7">
        <f>IFERROR(VLOOKUP(A146,'1227-29耗量'!$A$1:$C$602,3,FALSE),0)</f>
        <v>0</v>
      </c>
      <c r="E146" s="7">
        <f t="shared" si="4"/>
        <v>0</v>
      </c>
      <c r="F146" s="7" t="str">
        <f t="shared" si="5"/>
        <v>無資料</v>
      </c>
      <c r="G146" s="7" t="e">
        <f>VLOOKUP(A146,Sheet5!$A$2:$D$415,4,FALSE)</f>
        <v>#N/A</v>
      </c>
      <c r="H146" s="7" t="e">
        <f>VLOOKUP(A146,Sheet5!$A$2:$D$415,3,FALSE)</f>
        <v>#N/A</v>
      </c>
      <c r="I146" s="7" t="e">
        <f>VLOOKUP(A146,'1201-29周均耗用'!$A$1:$C$602,3,FALSE)</f>
        <v>#N/A</v>
      </c>
    </row>
    <row r="147" spans="1:9">
      <c r="A147" s="13" t="s">
        <v>299</v>
      </c>
      <c r="B147" s="14" t="s">
        <v>300</v>
      </c>
      <c r="C147" s="13">
        <v>58</v>
      </c>
      <c r="D147" s="7">
        <f>IFERROR(VLOOKUP(A147,'1227-29耗量'!$A$1:$C$602,3,FALSE),0)</f>
        <v>10</v>
      </c>
      <c r="E147" s="7">
        <f t="shared" si="4"/>
        <v>48</v>
      </c>
      <c r="F147" s="7" t="str">
        <f t="shared" si="5"/>
        <v>無資料</v>
      </c>
      <c r="G147" s="7" t="e">
        <f>VLOOKUP(A147,Sheet5!$A$2:$D$415,4,FALSE)</f>
        <v>#N/A</v>
      </c>
      <c r="H147" s="7" t="e">
        <f>VLOOKUP(A147,Sheet5!$A$2:$D$415,3,FALSE)</f>
        <v>#N/A</v>
      </c>
      <c r="I147" s="7">
        <f>VLOOKUP(A147,'1201-29周均耗用'!$A$1:$C$602,3,FALSE)</f>
        <v>88.5</v>
      </c>
    </row>
    <row r="148" spans="1:9">
      <c r="A148" s="13" t="s">
        <v>301</v>
      </c>
      <c r="B148" s="14" t="s">
        <v>302</v>
      </c>
      <c r="C148" s="13">
        <v>9</v>
      </c>
      <c r="D148" s="7">
        <f>IFERROR(VLOOKUP(A148,'1227-29耗量'!$A$1:$C$602,3,FALSE),0)</f>
        <v>0</v>
      </c>
      <c r="E148" s="7">
        <f t="shared" si="4"/>
        <v>9</v>
      </c>
      <c r="F148" s="7" t="str">
        <f t="shared" si="5"/>
        <v>無資料</v>
      </c>
      <c r="G148" s="7" t="e">
        <f>VLOOKUP(A148,Sheet5!$A$2:$D$415,4,FALSE)</f>
        <v>#N/A</v>
      </c>
      <c r="H148" s="7" t="e">
        <f>VLOOKUP(A148,Sheet5!$A$2:$D$415,3,FALSE)</f>
        <v>#N/A</v>
      </c>
      <c r="I148" s="7">
        <f>VLOOKUP(A148,'1201-29周均耗用'!$A$1:$C$602,3,FALSE)</f>
        <v>0.5</v>
      </c>
    </row>
    <row r="149" spans="1:9">
      <c r="A149" s="13" t="s">
        <v>303</v>
      </c>
      <c r="B149" s="14" t="s">
        <v>304</v>
      </c>
      <c r="C149" s="13">
        <v>1258</v>
      </c>
      <c r="D149" s="7">
        <f>IFERROR(VLOOKUP(A149,'1227-29耗量'!$A$1:$C$602,3,FALSE),0)</f>
        <v>5</v>
      </c>
      <c r="E149" s="7">
        <f t="shared" si="4"/>
        <v>1253</v>
      </c>
      <c r="F149" s="7" t="str">
        <f t="shared" si="5"/>
        <v>無資料</v>
      </c>
      <c r="G149" s="7" t="e">
        <f>VLOOKUP(A149,Sheet5!$A$2:$D$415,4,FALSE)</f>
        <v>#N/A</v>
      </c>
      <c r="H149" s="7" t="e">
        <f>VLOOKUP(A149,Sheet5!$A$2:$D$415,3,FALSE)</f>
        <v>#N/A</v>
      </c>
      <c r="I149" s="7">
        <f>VLOOKUP(A149,'1201-29周均耗用'!$A$1:$C$602,3,FALSE)</f>
        <v>88.2</v>
      </c>
    </row>
    <row r="150" spans="1:9">
      <c r="A150" s="13" t="s">
        <v>305</v>
      </c>
      <c r="B150" s="14" t="s">
        <v>306</v>
      </c>
      <c r="C150" s="13">
        <v>16</v>
      </c>
      <c r="D150" s="7">
        <f>IFERROR(VLOOKUP(A150,'1227-29耗量'!$A$1:$C$602,3,FALSE),0)</f>
        <v>0</v>
      </c>
      <c r="E150" s="7">
        <f t="shared" si="4"/>
        <v>16</v>
      </c>
      <c r="F150" s="7" t="str">
        <f t="shared" si="5"/>
        <v>無資料</v>
      </c>
      <c r="G150" s="7" t="e">
        <f>VLOOKUP(A150,Sheet5!$A$2:$D$415,4,FALSE)</f>
        <v>#N/A</v>
      </c>
      <c r="H150" s="7" t="e">
        <f>VLOOKUP(A150,Sheet5!$A$2:$D$415,3,FALSE)</f>
        <v>#N/A</v>
      </c>
      <c r="I150" s="7" t="e">
        <f>VLOOKUP(A150,'1201-29周均耗用'!$A$1:$C$602,3,FALSE)</f>
        <v>#N/A</v>
      </c>
    </row>
    <row r="151" spans="1:9">
      <c r="A151" s="13" t="s">
        <v>307</v>
      </c>
      <c r="B151" s="14" t="s">
        <v>308</v>
      </c>
      <c r="C151" s="13">
        <v>599</v>
      </c>
      <c r="D151" s="7">
        <f>VLOOKUP(A151,'1227-29耗量'!$A$1:$C$602,3,FALSE)</f>
        <v>321</v>
      </c>
      <c r="E151" s="7">
        <f t="shared" si="4"/>
        <v>278</v>
      </c>
      <c r="F151" s="7" t="str">
        <f t="shared" si="5"/>
        <v>錯誤</v>
      </c>
      <c r="G151" s="7">
        <f>VLOOKUP(A151,Sheet5!$A$2:$D$415,4,FALSE)</f>
        <v>-174</v>
      </c>
      <c r="H151" s="7">
        <f>VLOOKUP(A151,Sheet5!$A$2:$D$415,3,FALSE)</f>
        <v>2240</v>
      </c>
      <c r="I151" s="7">
        <f>VLOOKUP(A151,'1201-29周均耗用'!$A$1:$C$602,3,FALSE)</f>
        <v>411.5</v>
      </c>
    </row>
    <row r="152" spans="1:9">
      <c r="A152" s="13" t="s">
        <v>309</v>
      </c>
      <c r="B152" s="14" t="s">
        <v>310</v>
      </c>
      <c r="C152" s="13">
        <v>89</v>
      </c>
      <c r="D152" s="7">
        <f>IFERROR(VLOOKUP(A152,'1227-29耗量'!$A$1:$C$602,3,FALSE),0)</f>
        <v>19</v>
      </c>
      <c r="E152" s="7">
        <f t="shared" si="4"/>
        <v>70</v>
      </c>
      <c r="F152" s="7" t="str">
        <f t="shared" si="5"/>
        <v>無資料</v>
      </c>
      <c r="G152" s="7" t="e">
        <f>VLOOKUP(A152,Sheet5!$A$2:$D$415,4,FALSE)</f>
        <v>#N/A</v>
      </c>
      <c r="H152" s="7" t="e">
        <f>VLOOKUP(A152,Sheet5!$A$2:$D$415,3,FALSE)</f>
        <v>#N/A</v>
      </c>
      <c r="I152" s="7">
        <f>VLOOKUP(A152,'1201-29周均耗用'!$A$1:$C$602,3,FALSE)</f>
        <v>10.2</v>
      </c>
    </row>
    <row r="153" spans="1:9">
      <c r="A153" s="13" t="s">
        <v>311</v>
      </c>
      <c r="B153" s="14" t="s">
        <v>312</v>
      </c>
      <c r="C153" s="13">
        <v>0</v>
      </c>
      <c r="D153" s="7">
        <f>VLOOKUP(A153,'1227-29耗量'!$A$1:$C$602,3,FALSE)</f>
        <v>86</v>
      </c>
      <c r="E153" s="7">
        <f t="shared" si="4"/>
        <v>-86</v>
      </c>
      <c r="F153" s="7" t="str">
        <f t="shared" si="5"/>
        <v>錯誤</v>
      </c>
      <c r="G153" s="7">
        <f>VLOOKUP(A153,Sheet5!$A$2:$D$415,4,FALSE)</f>
        <v>-102</v>
      </c>
      <c r="H153" s="7">
        <f>VLOOKUP(A153,Sheet5!$A$2:$D$415,3,FALSE)</f>
        <v>120</v>
      </c>
      <c r="I153" s="7">
        <f>VLOOKUP(A153,'1201-29周均耗用'!$A$1:$C$602,3,FALSE)</f>
        <v>604.8</v>
      </c>
    </row>
    <row r="154" spans="1:9">
      <c r="A154" s="13" t="s">
        <v>313</v>
      </c>
      <c r="B154" s="14" t="s">
        <v>314</v>
      </c>
      <c r="C154" s="13">
        <v>1564</v>
      </c>
      <c r="D154" s="7">
        <f>VLOOKUP(A154,'1227-29耗量'!$A$1:$C$602,3,FALSE)</f>
        <v>31</v>
      </c>
      <c r="E154" s="7">
        <f t="shared" si="4"/>
        <v>1533</v>
      </c>
      <c r="F154" s="7" t="str">
        <f t="shared" si="5"/>
        <v>錯誤</v>
      </c>
      <c r="G154" s="7">
        <f>VLOOKUP(A154,Sheet5!$A$2:$D$415,4,FALSE)</f>
        <v>945</v>
      </c>
      <c r="H154" s="7">
        <f>VLOOKUP(A154,Sheet5!$A$2:$D$415,3,FALSE)</f>
        <v>1000</v>
      </c>
      <c r="I154" s="7">
        <f>VLOOKUP(A154,'1201-29周均耗用'!$A$1:$C$602,3,FALSE)</f>
        <v>422.2</v>
      </c>
    </row>
    <row r="155" spans="1:9">
      <c r="A155" s="13" t="s">
        <v>315</v>
      </c>
      <c r="B155" s="14" t="s">
        <v>316</v>
      </c>
      <c r="C155" s="13">
        <v>36</v>
      </c>
      <c r="D155" s="7">
        <f>IFERROR(VLOOKUP(A155,'1227-29耗量'!$A$1:$C$602,3,FALSE),0)</f>
        <v>0</v>
      </c>
      <c r="E155" s="7">
        <f t="shared" si="4"/>
        <v>36</v>
      </c>
      <c r="F155" s="7" t="str">
        <f t="shared" si="5"/>
        <v>無資料</v>
      </c>
      <c r="G155" s="7" t="e">
        <f>VLOOKUP(A155,Sheet5!$A$2:$D$415,4,FALSE)</f>
        <v>#N/A</v>
      </c>
      <c r="H155" s="7" t="e">
        <f>VLOOKUP(A155,Sheet5!$A$2:$D$415,3,FALSE)</f>
        <v>#N/A</v>
      </c>
      <c r="I155" s="7">
        <f>VLOOKUP(A155,'1201-29周均耗用'!$A$1:$C$602,3,FALSE)</f>
        <v>1.5</v>
      </c>
    </row>
    <row r="156" spans="1:9">
      <c r="A156" s="13" t="s">
        <v>317</v>
      </c>
      <c r="B156" s="14" t="s">
        <v>318</v>
      </c>
      <c r="C156" s="13">
        <v>843</v>
      </c>
      <c r="D156" s="7">
        <f>IFERROR(VLOOKUP(A156,'1227-29耗量'!$A$1:$C$602,3,FALSE),0)</f>
        <v>39</v>
      </c>
      <c r="E156" s="7">
        <f t="shared" si="4"/>
        <v>804</v>
      </c>
      <c r="F156" s="7" t="str">
        <f t="shared" si="5"/>
        <v>無資料</v>
      </c>
      <c r="G156" s="7" t="e">
        <f>VLOOKUP(A156,Sheet5!$A$2:$D$415,4,FALSE)</f>
        <v>#N/A</v>
      </c>
      <c r="H156" s="7" t="e">
        <f>VLOOKUP(A156,Sheet5!$A$2:$D$415,3,FALSE)</f>
        <v>#N/A</v>
      </c>
      <c r="I156" s="7">
        <f>VLOOKUP(A156,'1201-29周均耗用'!$A$1:$C$602,3,FALSE)</f>
        <v>82.2</v>
      </c>
    </row>
    <row r="157" spans="1:9">
      <c r="A157" s="13" t="s">
        <v>319</v>
      </c>
      <c r="B157" s="14" t="s">
        <v>320</v>
      </c>
      <c r="C157" s="13">
        <v>724</v>
      </c>
      <c r="D157" s="7">
        <f>VLOOKUP(A157,'1227-29耗量'!$A$1:$C$602,3,FALSE)</f>
        <v>63</v>
      </c>
      <c r="E157" s="7">
        <f t="shared" si="4"/>
        <v>661</v>
      </c>
      <c r="F157" s="7" t="str">
        <f t="shared" si="5"/>
        <v>錯誤</v>
      </c>
      <c r="G157" s="7">
        <f>VLOOKUP(A157,Sheet5!$A$2:$D$415,4,FALSE)</f>
        <v>307</v>
      </c>
      <c r="H157" s="7">
        <f>VLOOKUP(A157,Sheet5!$A$2:$D$415,3,FALSE)</f>
        <v>404</v>
      </c>
      <c r="I157" s="7" t="e">
        <f>VLOOKUP(A157,'1201-29周均耗用'!$A$1:$C$602,3,FALSE)</f>
        <v>#N/A</v>
      </c>
    </row>
    <row r="158" spans="1:9">
      <c r="A158" s="13" t="s">
        <v>321</v>
      </c>
      <c r="B158" s="14" t="s">
        <v>322</v>
      </c>
      <c r="C158" s="13">
        <v>0</v>
      </c>
      <c r="D158" s="7">
        <f>IFERROR(VLOOKUP(A158,'1227-29耗量'!$A$1:$C$602,3,FALSE),0)</f>
        <v>0</v>
      </c>
      <c r="E158" s="7">
        <f t="shared" si="4"/>
        <v>0</v>
      </c>
      <c r="F158" s="7" t="str">
        <f t="shared" si="5"/>
        <v>無資料</v>
      </c>
      <c r="G158" s="7" t="e">
        <f>VLOOKUP(A158,Sheet5!$A$2:$D$415,4,FALSE)</f>
        <v>#N/A</v>
      </c>
      <c r="H158" s="7" t="e">
        <f>VLOOKUP(A158,Sheet5!$A$2:$D$415,3,FALSE)</f>
        <v>#N/A</v>
      </c>
      <c r="I158" s="7" t="e">
        <f>VLOOKUP(A158,'1201-29周均耗用'!$A$1:$C$602,3,FALSE)</f>
        <v>#N/A</v>
      </c>
    </row>
    <row r="159" spans="1:9">
      <c r="A159" s="13" t="s">
        <v>323</v>
      </c>
      <c r="B159" s="14" t="s">
        <v>324</v>
      </c>
      <c r="C159" s="13">
        <v>1623</v>
      </c>
      <c r="D159" s="7">
        <f>VLOOKUP(A159,'1227-29耗量'!$A$1:$C$602,3,FALSE)</f>
        <v>79</v>
      </c>
      <c r="E159" s="7">
        <f t="shared" si="4"/>
        <v>1544</v>
      </c>
      <c r="F159" s="7" t="str">
        <f t="shared" si="5"/>
        <v>錯誤</v>
      </c>
      <c r="G159" s="7">
        <f>VLOOKUP(A159,Sheet5!$A$2:$D$415,4,FALSE)</f>
        <v>975</v>
      </c>
      <c r="H159" s="7">
        <f>VLOOKUP(A159,Sheet5!$A$2:$D$415,3,FALSE)</f>
        <v>1000</v>
      </c>
      <c r="I159" s="7">
        <f>VLOOKUP(A159,'1201-29周均耗用'!$A$1:$C$602,3,FALSE)</f>
        <v>360.2</v>
      </c>
    </row>
    <row r="160" spans="1:9">
      <c r="A160" s="13" t="s">
        <v>325</v>
      </c>
      <c r="B160" s="14" t="s">
        <v>326</v>
      </c>
      <c r="C160" s="13">
        <v>913</v>
      </c>
      <c r="D160" s="7">
        <f>VLOOKUP(A160,'1227-29耗量'!$A$1:$C$602,3,FALSE)</f>
        <v>86</v>
      </c>
      <c r="E160" s="7">
        <f t="shared" si="4"/>
        <v>827</v>
      </c>
      <c r="F160" s="7" t="str">
        <f t="shared" si="5"/>
        <v>錯誤</v>
      </c>
      <c r="G160" s="7">
        <f>VLOOKUP(A160,Sheet5!$A$2:$D$415,4,FALSE)</f>
        <v>464</v>
      </c>
      <c r="H160" s="7">
        <f>VLOOKUP(A160,Sheet5!$A$2:$D$415,3,FALSE)</f>
        <v>1120</v>
      </c>
      <c r="I160" s="7">
        <f>VLOOKUP(A160,'1201-29周均耗用'!$A$1:$C$602,3,FALSE)</f>
        <v>332.2</v>
      </c>
    </row>
    <row r="161" spans="1:9">
      <c r="A161" s="13" t="s">
        <v>327</v>
      </c>
      <c r="B161" s="14" t="s">
        <v>328</v>
      </c>
      <c r="C161" s="13">
        <v>2180</v>
      </c>
      <c r="D161" s="7">
        <f>VLOOKUP(A161,'1227-29耗量'!$A$1:$C$602,3,FALSE)</f>
        <v>328</v>
      </c>
      <c r="E161" s="7">
        <f t="shared" si="4"/>
        <v>1852</v>
      </c>
      <c r="F161" s="7" t="str">
        <f t="shared" si="5"/>
        <v>錯誤</v>
      </c>
      <c r="G161" s="7">
        <f>VLOOKUP(A161,Sheet5!$A$2:$D$415,4,FALSE)</f>
        <v>784</v>
      </c>
      <c r="H161" s="7">
        <f>VLOOKUP(A161,Sheet5!$A$2:$D$415,3,FALSE)</f>
        <v>3000</v>
      </c>
      <c r="I161" s="7">
        <f>VLOOKUP(A161,'1201-29周均耗用'!$A$1:$C$602,3,FALSE)</f>
        <v>817</v>
      </c>
    </row>
    <row r="162" spans="1:9">
      <c r="A162" s="13" t="s">
        <v>329</v>
      </c>
      <c r="B162" s="14" t="s">
        <v>330</v>
      </c>
      <c r="C162" s="13">
        <v>194</v>
      </c>
      <c r="D162" s="7">
        <f>IFERROR(VLOOKUP(A162,'1227-29耗量'!$A$1:$C$602,3,FALSE),0)</f>
        <v>3</v>
      </c>
      <c r="E162" s="7">
        <f t="shared" si="4"/>
        <v>191</v>
      </c>
      <c r="F162" s="7" t="str">
        <f t="shared" si="5"/>
        <v>無資料</v>
      </c>
      <c r="G162" s="7" t="e">
        <f>VLOOKUP(A162,Sheet5!$A$2:$D$415,4,FALSE)</f>
        <v>#N/A</v>
      </c>
      <c r="H162" s="7" t="e">
        <f>VLOOKUP(A162,Sheet5!$A$2:$D$415,3,FALSE)</f>
        <v>#N/A</v>
      </c>
      <c r="I162" s="7">
        <f>VLOOKUP(A162,'1201-29周均耗用'!$A$1:$C$602,3,FALSE)</f>
        <v>27.5</v>
      </c>
    </row>
    <row r="163" spans="1:9">
      <c r="A163" s="13" t="s">
        <v>331</v>
      </c>
      <c r="B163" s="14" t="s">
        <v>332</v>
      </c>
      <c r="C163" s="13">
        <v>30</v>
      </c>
      <c r="D163" s="7">
        <f>VLOOKUP(A163,'1227-29耗量'!$A$1:$C$602,3,FALSE)</f>
        <v>2</v>
      </c>
      <c r="E163" s="7">
        <f t="shared" si="4"/>
        <v>28</v>
      </c>
      <c r="F163" s="7" t="str">
        <f t="shared" si="5"/>
        <v>錯誤</v>
      </c>
      <c r="G163" s="7">
        <f>VLOOKUP(A163,Sheet5!$A$2:$D$415,4,FALSE)</f>
        <v>29</v>
      </c>
      <c r="H163" s="7">
        <f>VLOOKUP(A163,Sheet5!$A$2:$D$415,3,FALSE)</f>
        <v>60</v>
      </c>
      <c r="I163" s="7">
        <f>VLOOKUP(A163,'1201-29周均耗用'!$A$1:$C$602,3,FALSE)</f>
        <v>18</v>
      </c>
    </row>
    <row r="164" spans="1:9">
      <c r="A164" s="13" t="s">
        <v>333</v>
      </c>
      <c r="B164" s="14" t="s">
        <v>334</v>
      </c>
      <c r="C164" s="13">
        <v>1910</v>
      </c>
      <c r="D164" s="7">
        <f>VLOOKUP(A164,'1227-29耗量'!$A$1:$C$602,3,FALSE)</f>
        <v>173</v>
      </c>
      <c r="E164" s="7">
        <f t="shared" si="4"/>
        <v>1737</v>
      </c>
      <c r="F164" s="7" t="str">
        <f t="shared" si="5"/>
        <v>錯誤</v>
      </c>
      <c r="G164" s="7">
        <f>VLOOKUP(A164,Sheet5!$A$2:$D$415,4,FALSE)</f>
        <v>667</v>
      </c>
      <c r="H164" s="7">
        <f>VLOOKUP(A164,Sheet5!$A$2:$D$415,3,FALSE)</f>
        <v>2920</v>
      </c>
      <c r="I164" s="7">
        <f>VLOOKUP(A164,'1201-29周均耗用'!$A$1:$C$602,3,FALSE)</f>
        <v>864.2</v>
      </c>
    </row>
    <row r="165" spans="1:9">
      <c r="A165" s="13" t="s">
        <v>335</v>
      </c>
      <c r="B165" s="14" t="s">
        <v>336</v>
      </c>
      <c r="C165" s="13">
        <v>0</v>
      </c>
      <c r="D165" s="7">
        <f>IFERROR(VLOOKUP(A165,'1227-29耗量'!$A$1:$C$602,3,FALSE),0)</f>
        <v>0</v>
      </c>
      <c r="E165" s="7">
        <f t="shared" si="4"/>
        <v>0</v>
      </c>
      <c r="F165" s="7" t="str">
        <f t="shared" si="5"/>
        <v>無資料</v>
      </c>
      <c r="G165" s="7" t="e">
        <f>VLOOKUP(A165,Sheet5!$A$2:$D$415,4,FALSE)</f>
        <v>#N/A</v>
      </c>
      <c r="H165" s="7" t="e">
        <f>VLOOKUP(A165,Sheet5!$A$2:$D$415,3,FALSE)</f>
        <v>#N/A</v>
      </c>
      <c r="I165" s="7" t="e">
        <f>VLOOKUP(A165,'1201-29周均耗用'!$A$1:$C$602,3,FALSE)</f>
        <v>#N/A</v>
      </c>
    </row>
    <row r="166" spans="1:9">
      <c r="A166" s="13" t="s">
        <v>337</v>
      </c>
      <c r="B166" s="14" t="s">
        <v>338</v>
      </c>
      <c r="C166" s="13">
        <v>0</v>
      </c>
      <c r="D166" s="7">
        <f>IFERROR(VLOOKUP(A166,'1227-29耗量'!$A$1:$C$602,3,FALSE),0)</f>
        <v>0</v>
      </c>
      <c r="E166" s="7">
        <f t="shared" si="4"/>
        <v>0</v>
      </c>
      <c r="F166" s="7" t="str">
        <f t="shared" si="5"/>
        <v>無資料</v>
      </c>
      <c r="G166" s="7" t="e">
        <f>VLOOKUP(A166,Sheet5!$A$2:$D$415,4,FALSE)</f>
        <v>#N/A</v>
      </c>
      <c r="H166" s="7" t="e">
        <f>VLOOKUP(A166,Sheet5!$A$2:$D$415,3,FALSE)</f>
        <v>#N/A</v>
      </c>
      <c r="I166" s="7" t="e">
        <f>VLOOKUP(A166,'1201-29周均耗用'!$A$1:$C$602,3,FALSE)</f>
        <v>#N/A</v>
      </c>
    </row>
    <row r="167" spans="1:9">
      <c r="A167" s="13" t="s">
        <v>339</v>
      </c>
      <c r="B167" s="14" t="s">
        <v>340</v>
      </c>
      <c r="C167" s="13">
        <v>0</v>
      </c>
      <c r="D167" s="7">
        <f>IFERROR(VLOOKUP(A167,'1227-29耗量'!$A$1:$C$602,3,FALSE),0)</f>
        <v>0</v>
      </c>
      <c r="E167" s="7">
        <f t="shared" si="4"/>
        <v>0</v>
      </c>
      <c r="F167" s="7" t="str">
        <f t="shared" si="5"/>
        <v>無資料</v>
      </c>
      <c r="G167" s="7" t="e">
        <f>VLOOKUP(A167,Sheet5!$A$2:$D$415,4,FALSE)</f>
        <v>#N/A</v>
      </c>
      <c r="H167" s="7" t="e">
        <f>VLOOKUP(A167,Sheet5!$A$2:$D$415,3,FALSE)</f>
        <v>#N/A</v>
      </c>
      <c r="I167" s="7" t="e">
        <f>VLOOKUP(A167,'1201-29周均耗用'!$A$1:$C$602,3,FALSE)</f>
        <v>#N/A</v>
      </c>
    </row>
    <row r="168" spans="1:9">
      <c r="A168" s="13" t="s">
        <v>341</v>
      </c>
      <c r="B168" s="14" t="s">
        <v>342</v>
      </c>
      <c r="C168" s="13">
        <v>53</v>
      </c>
      <c r="D168" s="7">
        <f>VLOOKUP(A168,'1227-29耗量'!$A$1:$C$602,3,FALSE)</f>
        <v>2</v>
      </c>
      <c r="E168" s="7">
        <f t="shared" si="4"/>
        <v>51</v>
      </c>
      <c r="F168" s="7" t="str">
        <f t="shared" si="5"/>
        <v>錯誤</v>
      </c>
      <c r="G168" s="7">
        <f>VLOOKUP(A168,Sheet5!$A$2:$D$415,4,FALSE)</f>
        <v>8</v>
      </c>
      <c r="H168" s="7">
        <f>VLOOKUP(A168,Sheet5!$A$2:$D$415,3,FALSE)</f>
        <v>40</v>
      </c>
      <c r="I168" s="7">
        <f>VLOOKUP(A168,'1201-29周均耗用'!$A$1:$C$602,3,FALSE)</f>
        <v>14.8</v>
      </c>
    </row>
    <row r="169" spans="1:9">
      <c r="A169" s="13" t="s">
        <v>343</v>
      </c>
      <c r="B169" s="14" t="s">
        <v>344</v>
      </c>
      <c r="C169" s="13">
        <v>0</v>
      </c>
      <c r="D169" s="7">
        <f>IFERROR(VLOOKUP(A169,'1227-29耗量'!$A$1:$C$602,3,FALSE),0)</f>
        <v>0</v>
      </c>
      <c r="E169" s="7">
        <f t="shared" si="4"/>
        <v>0</v>
      </c>
      <c r="F169" s="7" t="str">
        <f t="shared" si="5"/>
        <v>無資料</v>
      </c>
      <c r="G169" s="7" t="e">
        <f>VLOOKUP(A169,Sheet5!$A$2:$D$415,4,FALSE)</f>
        <v>#N/A</v>
      </c>
      <c r="H169" s="7" t="e">
        <f>VLOOKUP(A169,Sheet5!$A$2:$D$415,3,FALSE)</f>
        <v>#N/A</v>
      </c>
      <c r="I169" s="7" t="e">
        <f>VLOOKUP(A169,'1201-29周均耗用'!$A$1:$C$602,3,FALSE)</f>
        <v>#N/A</v>
      </c>
    </row>
    <row r="170" spans="1:9">
      <c r="A170" s="13" t="s">
        <v>345</v>
      </c>
      <c r="B170" s="14" t="s">
        <v>346</v>
      </c>
      <c r="C170" s="13">
        <v>6</v>
      </c>
      <c r="D170" s="7">
        <f>IFERROR(VLOOKUP(A170,'1227-29耗量'!$A$1:$C$602,3,FALSE),0)</f>
        <v>0</v>
      </c>
      <c r="E170" s="7">
        <f t="shared" si="4"/>
        <v>6</v>
      </c>
      <c r="F170" s="7" t="str">
        <f t="shared" si="5"/>
        <v>錯誤</v>
      </c>
      <c r="G170" s="7">
        <f>VLOOKUP(A170,Sheet5!$A$2:$D$415,4,FALSE)</f>
        <v>0</v>
      </c>
      <c r="H170" s="7">
        <f>VLOOKUP(A170,Sheet5!$A$2:$D$415,3,FALSE)</f>
        <v>15</v>
      </c>
      <c r="I170" s="7" t="e">
        <f>VLOOKUP(A170,'1201-29周均耗用'!$A$1:$C$602,3,FALSE)</f>
        <v>#N/A</v>
      </c>
    </row>
    <row r="171" spans="1:9">
      <c r="A171" s="13" t="s">
        <v>347</v>
      </c>
      <c r="B171" s="14" t="s">
        <v>348</v>
      </c>
      <c r="C171" s="13">
        <v>431</v>
      </c>
      <c r="D171" s="7">
        <f>IFERROR(VLOOKUP(A171,'1227-29耗量'!$A$1:$C$602,3,FALSE),0)</f>
        <v>0</v>
      </c>
      <c r="E171" s="7">
        <f t="shared" si="4"/>
        <v>431</v>
      </c>
      <c r="F171" s="7" t="str">
        <f t="shared" si="5"/>
        <v>錯誤</v>
      </c>
      <c r="G171" s="7">
        <f>VLOOKUP(A171,Sheet5!$A$2:$D$415,4,FALSE)</f>
        <v>175</v>
      </c>
      <c r="H171" s="7">
        <f>VLOOKUP(A171,Sheet5!$A$2:$D$415,3,FALSE)</f>
        <v>224</v>
      </c>
      <c r="I171" s="7">
        <f>VLOOKUP(A171,'1201-29周均耗用'!$A$1:$C$602,3,FALSE)</f>
        <v>63.5</v>
      </c>
    </row>
    <row r="172" spans="1:9">
      <c r="A172" s="13" t="s">
        <v>349</v>
      </c>
      <c r="B172" s="14" t="s">
        <v>350</v>
      </c>
      <c r="C172" s="13">
        <v>466</v>
      </c>
      <c r="D172" s="7">
        <f>VLOOKUP(A172,'1227-29耗量'!$A$1:$C$602,3,FALSE)</f>
        <v>12</v>
      </c>
      <c r="E172" s="7">
        <f t="shared" si="4"/>
        <v>454</v>
      </c>
      <c r="F172" s="7" t="str">
        <f t="shared" si="5"/>
        <v>錯誤</v>
      </c>
      <c r="G172" s="7">
        <f>VLOOKUP(A172,Sheet5!$A$2:$D$415,4,FALSE)</f>
        <v>94</v>
      </c>
      <c r="H172" s="7">
        <f>VLOOKUP(A172,Sheet5!$A$2:$D$415,3,FALSE)</f>
        <v>252</v>
      </c>
      <c r="I172" s="7">
        <f>VLOOKUP(A172,'1201-29周均耗用'!$A$1:$C$602,3,FALSE)</f>
        <v>101.8</v>
      </c>
    </row>
    <row r="173" spans="1:9">
      <c r="A173" s="13" t="s">
        <v>351</v>
      </c>
      <c r="B173" s="14" t="s">
        <v>352</v>
      </c>
      <c r="C173" s="13">
        <v>51</v>
      </c>
      <c r="D173" s="7">
        <f>IFERROR(VLOOKUP(A173,'1227-29耗量'!$A$1:$C$602,3,FALSE),0)</f>
        <v>0</v>
      </c>
      <c r="E173" s="7">
        <f t="shared" si="4"/>
        <v>51</v>
      </c>
      <c r="F173" s="7" t="str">
        <f t="shared" si="5"/>
        <v>無資料</v>
      </c>
      <c r="G173" s="7" t="e">
        <f>VLOOKUP(A173,Sheet5!$A$2:$D$415,4,FALSE)</f>
        <v>#N/A</v>
      </c>
      <c r="H173" s="7" t="e">
        <f>VLOOKUP(A173,Sheet5!$A$2:$D$415,3,FALSE)</f>
        <v>#N/A</v>
      </c>
      <c r="I173" s="7">
        <f>VLOOKUP(A173,'1201-29周均耗用'!$A$1:$C$602,3,FALSE)</f>
        <v>7.5</v>
      </c>
    </row>
    <row r="174" spans="1:9">
      <c r="A174" s="13" t="s">
        <v>353</v>
      </c>
      <c r="B174" s="14" t="s">
        <v>354</v>
      </c>
      <c r="C174" s="13">
        <v>567</v>
      </c>
      <c r="D174" s="7">
        <f>VLOOKUP(A174,'1227-29耗量'!$A$1:$C$602,3,FALSE)</f>
        <v>20</v>
      </c>
      <c r="E174" s="7">
        <f t="shared" si="4"/>
        <v>547</v>
      </c>
      <c r="F174" s="7" t="str">
        <f t="shared" si="5"/>
        <v>錯誤</v>
      </c>
      <c r="G174" s="7">
        <f>VLOOKUP(A174,Sheet5!$A$2:$D$415,4,FALSE)</f>
        <v>291</v>
      </c>
      <c r="H174" s="7">
        <f>VLOOKUP(A174,Sheet5!$A$2:$D$415,3,FALSE)</f>
        <v>500</v>
      </c>
      <c r="I174" s="7">
        <f>VLOOKUP(A174,'1201-29周均耗用'!$A$1:$C$602,3,FALSE)</f>
        <v>188.5</v>
      </c>
    </row>
    <row r="175" spans="1:9">
      <c r="A175" s="13" t="s">
        <v>355</v>
      </c>
      <c r="B175" s="14" t="s">
        <v>356</v>
      </c>
      <c r="C175" s="13">
        <v>1653</v>
      </c>
      <c r="D175" s="7">
        <f>VLOOKUP(A175,'1227-29耗量'!$A$1:$C$602,3,FALSE)</f>
        <v>220</v>
      </c>
      <c r="E175" s="7">
        <f t="shared" si="4"/>
        <v>1433</v>
      </c>
      <c r="F175" s="7" t="str">
        <f t="shared" si="5"/>
        <v>錯誤</v>
      </c>
      <c r="G175" s="7">
        <f>VLOOKUP(A175,Sheet5!$A$2:$D$415,4,FALSE)</f>
        <v>650</v>
      </c>
      <c r="H175" s="7">
        <f>VLOOKUP(A175,Sheet5!$A$2:$D$415,3,FALSE)</f>
        <v>4000</v>
      </c>
      <c r="I175" s="7">
        <f>VLOOKUP(A175,'1201-29周均耗用'!$A$1:$C$602,3,FALSE)</f>
        <v>1069.2</v>
      </c>
    </row>
    <row r="176" spans="1:9">
      <c r="A176" s="13" t="s">
        <v>357</v>
      </c>
      <c r="B176" s="14" t="s">
        <v>358</v>
      </c>
      <c r="C176" s="13">
        <v>290</v>
      </c>
      <c r="D176" s="7">
        <f>IFERROR(VLOOKUP(A176,'1227-29耗量'!$A$1:$C$602,3,FALSE),0)</f>
        <v>6</v>
      </c>
      <c r="E176" s="7">
        <f t="shared" si="4"/>
        <v>284</v>
      </c>
      <c r="F176" s="7" t="str">
        <f t="shared" si="5"/>
        <v>無資料</v>
      </c>
      <c r="G176" s="7" t="e">
        <f>VLOOKUP(A176,Sheet5!$A$2:$D$415,4,FALSE)</f>
        <v>#N/A</v>
      </c>
      <c r="H176" s="7" t="e">
        <f>VLOOKUP(A176,Sheet5!$A$2:$D$415,3,FALSE)</f>
        <v>#N/A</v>
      </c>
      <c r="I176" s="7" t="e">
        <f>VLOOKUP(A176,'1201-29周均耗用'!$A$1:$C$602,3,FALSE)</f>
        <v>#N/A</v>
      </c>
    </row>
    <row r="177" spans="1:9">
      <c r="A177" s="13" t="s">
        <v>359</v>
      </c>
      <c r="B177" s="14" t="s">
        <v>360</v>
      </c>
      <c r="C177" s="13">
        <v>0</v>
      </c>
      <c r="D177" s="7">
        <f>IFERROR(VLOOKUP(A177,'1227-29耗量'!$A$1:$C$602,3,FALSE),0)</f>
        <v>0</v>
      </c>
      <c r="E177" s="7">
        <f t="shared" si="4"/>
        <v>0</v>
      </c>
      <c r="F177" s="7" t="str">
        <f t="shared" si="5"/>
        <v>無資料</v>
      </c>
      <c r="G177" s="7" t="e">
        <f>VLOOKUP(A177,Sheet5!$A$2:$D$415,4,FALSE)</f>
        <v>#N/A</v>
      </c>
      <c r="H177" s="7" t="e">
        <f>VLOOKUP(A177,Sheet5!$A$2:$D$415,3,FALSE)</f>
        <v>#N/A</v>
      </c>
      <c r="I177" s="7" t="e">
        <f>VLOOKUP(A177,'1201-29周均耗用'!$A$1:$C$602,3,FALSE)</f>
        <v>#N/A</v>
      </c>
    </row>
    <row r="178" spans="1:9">
      <c r="A178" s="13" t="s">
        <v>361</v>
      </c>
      <c r="B178" s="14" t="s">
        <v>362</v>
      </c>
      <c r="C178" s="13">
        <v>0</v>
      </c>
      <c r="D178" s="7">
        <f>IFERROR(VLOOKUP(A178,'1227-29耗量'!$A$1:$C$602,3,FALSE),0)</f>
        <v>0</v>
      </c>
      <c r="E178" s="7">
        <f t="shared" si="4"/>
        <v>0</v>
      </c>
      <c r="F178" s="7" t="str">
        <f t="shared" si="5"/>
        <v>無資料</v>
      </c>
      <c r="G178" s="7" t="e">
        <f>VLOOKUP(A178,Sheet5!$A$2:$D$415,4,FALSE)</f>
        <v>#N/A</v>
      </c>
      <c r="H178" s="7" t="e">
        <f>VLOOKUP(A178,Sheet5!$A$2:$D$415,3,FALSE)</f>
        <v>#N/A</v>
      </c>
      <c r="I178" s="7" t="e">
        <f>VLOOKUP(A178,'1201-29周均耗用'!$A$1:$C$602,3,FALSE)</f>
        <v>#N/A</v>
      </c>
    </row>
    <row r="179" spans="1:9">
      <c r="A179" s="13" t="s">
        <v>363</v>
      </c>
      <c r="B179" s="14" t="s">
        <v>364</v>
      </c>
      <c r="C179" s="13">
        <v>394</v>
      </c>
      <c r="D179" s="7">
        <f>IFERROR(VLOOKUP(A179,'1227-29耗量'!$A$1:$C$602,3,FALSE),0)</f>
        <v>14</v>
      </c>
      <c r="E179" s="7">
        <f t="shared" si="4"/>
        <v>380</v>
      </c>
      <c r="F179" s="7" t="str">
        <f t="shared" si="5"/>
        <v>無資料</v>
      </c>
      <c r="G179" s="7" t="e">
        <f>VLOOKUP(A179,Sheet5!$A$2:$D$415,4,FALSE)</f>
        <v>#N/A</v>
      </c>
      <c r="H179" s="7" t="e">
        <f>VLOOKUP(A179,Sheet5!$A$2:$D$415,3,FALSE)</f>
        <v>#N/A</v>
      </c>
      <c r="I179" s="7">
        <f>VLOOKUP(A179,'1201-29周均耗用'!$A$1:$C$602,3,FALSE)</f>
        <v>83</v>
      </c>
    </row>
    <row r="180" spans="1:9">
      <c r="A180" s="13" t="s">
        <v>365</v>
      </c>
      <c r="B180" s="14" t="s">
        <v>366</v>
      </c>
      <c r="C180" s="13">
        <v>71</v>
      </c>
      <c r="D180" s="7">
        <f>IFERROR(VLOOKUP(A180,'1227-29耗量'!$A$1:$C$602,3,FALSE),0)</f>
        <v>2</v>
      </c>
      <c r="E180" s="7">
        <f t="shared" si="4"/>
        <v>69</v>
      </c>
      <c r="F180" s="7" t="str">
        <f t="shared" si="5"/>
        <v>無資料</v>
      </c>
      <c r="G180" s="7" t="e">
        <f>VLOOKUP(A180,Sheet5!$A$2:$D$415,4,FALSE)</f>
        <v>#N/A</v>
      </c>
      <c r="H180" s="7" t="e">
        <f>VLOOKUP(A180,Sheet5!$A$2:$D$415,3,FALSE)</f>
        <v>#N/A</v>
      </c>
      <c r="I180" s="7">
        <f>VLOOKUP(A180,'1201-29周均耗用'!$A$1:$C$602,3,FALSE)</f>
        <v>5</v>
      </c>
    </row>
    <row r="181" spans="1:9">
      <c r="A181" s="13" t="s">
        <v>367</v>
      </c>
      <c r="B181" s="14" t="s">
        <v>368</v>
      </c>
      <c r="C181" s="13">
        <v>332</v>
      </c>
      <c r="D181" s="7">
        <f>IFERROR(VLOOKUP(A181,'1227-29耗量'!$A$1:$C$602,3,FALSE),0)</f>
        <v>67</v>
      </c>
      <c r="E181" s="7">
        <f t="shared" si="4"/>
        <v>265</v>
      </c>
      <c r="F181" s="7" t="str">
        <f t="shared" si="5"/>
        <v>無資料</v>
      </c>
      <c r="G181" s="7" t="e">
        <f>VLOOKUP(A181,Sheet5!$A$2:$D$415,4,FALSE)</f>
        <v>#N/A</v>
      </c>
      <c r="H181" s="7" t="e">
        <f>VLOOKUP(A181,Sheet5!$A$2:$D$415,3,FALSE)</f>
        <v>#N/A</v>
      </c>
      <c r="I181" s="7">
        <f>VLOOKUP(A181,'1201-29周均耗用'!$A$1:$C$602,3,FALSE)</f>
        <v>303</v>
      </c>
    </row>
    <row r="182" spans="1:9">
      <c r="A182" s="13" t="s">
        <v>369</v>
      </c>
      <c r="B182" s="14" t="s">
        <v>370</v>
      </c>
      <c r="C182" s="13">
        <v>2</v>
      </c>
      <c r="D182" s="7">
        <f>IFERROR(VLOOKUP(A182,'1227-29耗量'!$A$1:$C$602,3,FALSE),0)</f>
        <v>0</v>
      </c>
      <c r="E182" s="7">
        <f t="shared" si="4"/>
        <v>2</v>
      </c>
      <c r="F182" s="7" t="str">
        <f t="shared" si="5"/>
        <v>無資料</v>
      </c>
      <c r="G182" s="7" t="e">
        <f>VLOOKUP(A182,Sheet5!$A$2:$D$415,4,FALSE)</f>
        <v>#N/A</v>
      </c>
      <c r="H182" s="7" t="e">
        <f>VLOOKUP(A182,Sheet5!$A$2:$D$415,3,FALSE)</f>
        <v>#N/A</v>
      </c>
      <c r="I182" s="7">
        <f>VLOOKUP(A182,'1201-29周均耗用'!$A$1:$C$602,3,FALSE)</f>
        <v>1.2</v>
      </c>
    </row>
    <row r="183" spans="1:9">
      <c r="A183" s="13" t="s">
        <v>371</v>
      </c>
      <c r="B183" s="14" t="s">
        <v>372</v>
      </c>
      <c r="C183" s="13">
        <v>687</v>
      </c>
      <c r="D183" s="7">
        <f>VLOOKUP(A183,'1227-29耗量'!$A$1:$C$602,3,FALSE)</f>
        <v>2</v>
      </c>
      <c r="E183" s="7">
        <f t="shared" si="4"/>
        <v>685</v>
      </c>
      <c r="F183" s="7" t="str">
        <f t="shared" si="5"/>
        <v>錯誤</v>
      </c>
      <c r="G183" s="7">
        <f>VLOOKUP(A183,Sheet5!$A$2:$D$415,4,FALSE)</f>
        <v>187</v>
      </c>
      <c r="H183" s="7">
        <f>VLOOKUP(A183,Sheet5!$A$2:$D$415,3,FALSE)</f>
        <v>28</v>
      </c>
      <c r="I183" s="7">
        <f>VLOOKUP(A183,'1201-29周均耗用'!$A$1:$C$602,3,FALSE)</f>
        <v>74</v>
      </c>
    </row>
    <row r="184" spans="1:9">
      <c r="A184" s="13" t="s">
        <v>373</v>
      </c>
      <c r="B184" s="14" t="s">
        <v>374</v>
      </c>
      <c r="C184" s="13">
        <v>22</v>
      </c>
      <c r="D184" s="7">
        <f>VLOOKUP(A184,'1227-29耗量'!$A$1:$C$602,3,FALSE)</f>
        <v>2</v>
      </c>
      <c r="E184" s="7">
        <f t="shared" si="4"/>
        <v>20</v>
      </c>
      <c r="F184" s="7" t="str">
        <f t="shared" si="5"/>
        <v>錯誤</v>
      </c>
      <c r="G184" s="7">
        <f>VLOOKUP(A184,Sheet5!$A$2:$D$415,4,FALSE)</f>
        <v>3</v>
      </c>
      <c r="H184" s="7">
        <f>VLOOKUP(A184,Sheet5!$A$2:$D$415,3,FALSE)</f>
        <v>20</v>
      </c>
      <c r="I184" s="7" t="e">
        <f>VLOOKUP(A184,'1201-29周均耗用'!$A$1:$C$602,3,FALSE)</f>
        <v>#N/A</v>
      </c>
    </row>
    <row r="185" spans="1:9">
      <c r="A185" s="13" t="s">
        <v>375</v>
      </c>
      <c r="B185" s="14" t="s">
        <v>376</v>
      </c>
      <c r="C185" s="13">
        <v>38</v>
      </c>
      <c r="D185" s="7">
        <f>IFERROR(VLOOKUP(A185,'1227-29耗量'!$A$1:$C$602,3,FALSE),0)</f>
        <v>0</v>
      </c>
      <c r="E185" s="7">
        <f t="shared" si="4"/>
        <v>38</v>
      </c>
      <c r="F185" s="7" t="str">
        <f t="shared" si="5"/>
        <v>無資料</v>
      </c>
      <c r="G185" s="7" t="e">
        <f>VLOOKUP(A185,Sheet5!$A$2:$D$415,4,FALSE)</f>
        <v>#N/A</v>
      </c>
      <c r="H185" s="7" t="e">
        <f>VLOOKUP(A185,Sheet5!$A$2:$D$415,3,FALSE)</f>
        <v>#N/A</v>
      </c>
      <c r="I185" s="7">
        <f>VLOOKUP(A185,'1201-29周均耗用'!$A$1:$C$602,3,FALSE)</f>
        <v>14.2</v>
      </c>
    </row>
    <row r="186" spans="1:9">
      <c r="A186" s="13" t="s">
        <v>377</v>
      </c>
      <c r="B186" s="14" t="s">
        <v>378</v>
      </c>
      <c r="C186" s="13">
        <v>0</v>
      </c>
      <c r="D186" s="7">
        <f>IFERROR(VLOOKUP(A186,'1227-29耗量'!$A$1:$C$602,3,FALSE),0)</f>
        <v>0</v>
      </c>
      <c r="E186" s="7">
        <f t="shared" si="4"/>
        <v>0</v>
      </c>
      <c r="F186" s="7" t="str">
        <f t="shared" si="5"/>
        <v>無資料</v>
      </c>
      <c r="G186" s="7" t="e">
        <f>VLOOKUP(A186,Sheet5!$A$2:$D$415,4,FALSE)</f>
        <v>#N/A</v>
      </c>
      <c r="H186" s="7" t="e">
        <f>VLOOKUP(A186,Sheet5!$A$2:$D$415,3,FALSE)</f>
        <v>#N/A</v>
      </c>
      <c r="I186" s="7" t="e">
        <f>VLOOKUP(A186,'1201-29周均耗用'!$A$1:$C$602,3,FALSE)</f>
        <v>#N/A</v>
      </c>
    </row>
    <row r="187" spans="1:9">
      <c r="A187" s="13" t="s">
        <v>379</v>
      </c>
      <c r="B187" s="14" t="s">
        <v>380</v>
      </c>
      <c r="C187" s="13">
        <v>0</v>
      </c>
      <c r="D187" s="7">
        <f>IFERROR(VLOOKUP(A187,'1227-29耗量'!$A$1:$C$602,3,FALSE),0)</f>
        <v>0</v>
      </c>
      <c r="E187" s="7">
        <f t="shared" si="4"/>
        <v>0</v>
      </c>
      <c r="F187" s="7" t="str">
        <f t="shared" si="5"/>
        <v>無資料</v>
      </c>
      <c r="G187" s="7" t="e">
        <f>VLOOKUP(A187,Sheet5!$A$2:$D$415,4,FALSE)</f>
        <v>#N/A</v>
      </c>
      <c r="H187" s="7" t="e">
        <f>VLOOKUP(A187,Sheet5!$A$2:$D$415,3,FALSE)</f>
        <v>#N/A</v>
      </c>
      <c r="I187" s="7" t="e">
        <f>VLOOKUP(A187,'1201-29周均耗用'!$A$1:$C$602,3,FALSE)</f>
        <v>#N/A</v>
      </c>
    </row>
    <row r="188" spans="1:9">
      <c r="A188" s="13" t="s">
        <v>381</v>
      </c>
      <c r="B188" s="14" t="s">
        <v>382</v>
      </c>
      <c r="C188" s="13">
        <v>96</v>
      </c>
      <c r="D188" s="7">
        <f>IFERROR(VLOOKUP(A188,'1227-29耗量'!$A$1:$C$602,3,FALSE),0)</f>
        <v>2</v>
      </c>
      <c r="E188" s="7">
        <f t="shared" si="4"/>
        <v>94</v>
      </c>
      <c r="F188" s="7" t="str">
        <f t="shared" si="5"/>
        <v>無資料</v>
      </c>
      <c r="G188" s="7" t="e">
        <f>VLOOKUP(A188,Sheet5!$A$2:$D$415,4,FALSE)</f>
        <v>#N/A</v>
      </c>
      <c r="H188" s="7" t="e">
        <f>VLOOKUP(A188,Sheet5!$A$2:$D$415,3,FALSE)</f>
        <v>#N/A</v>
      </c>
      <c r="I188" s="7">
        <f>VLOOKUP(A188,'1201-29周均耗用'!$A$1:$C$602,3,FALSE)</f>
        <v>3.2</v>
      </c>
    </row>
    <row r="189" spans="1:9">
      <c r="A189" s="13" t="s">
        <v>383</v>
      </c>
      <c r="B189" s="14" t="s">
        <v>384</v>
      </c>
      <c r="C189" s="13">
        <v>0</v>
      </c>
      <c r="D189" s="7">
        <f>IFERROR(VLOOKUP(A189,'1227-29耗量'!$A$1:$C$602,3,FALSE),0)</f>
        <v>0</v>
      </c>
      <c r="E189" s="7">
        <f t="shared" si="4"/>
        <v>0</v>
      </c>
      <c r="F189" s="7" t="str">
        <f t="shared" si="5"/>
        <v>無資料</v>
      </c>
      <c r="G189" s="7" t="e">
        <f>VLOOKUP(A189,Sheet5!$A$2:$D$415,4,FALSE)</f>
        <v>#N/A</v>
      </c>
      <c r="H189" s="7" t="e">
        <f>VLOOKUP(A189,Sheet5!$A$2:$D$415,3,FALSE)</f>
        <v>#N/A</v>
      </c>
      <c r="I189" s="7" t="e">
        <f>VLOOKUP(A189,'1201-29周均耗用'!$A$1:$C$602,3,FALSE)</f>
        <v>#N/A</v>
      </c>
    </row>
    <row r="190" spans="1:9">
      <c r="A190" s="13" t="s">
        <v>385</v>
      </c>
      <c r="B190" s="14" t="s">
        <v>386</v>
      </c>
      <c r="C190" s="13">
        <v>0</v>
      </c>
      <c r="D190" s="7">
        <f>IFERROR(VLOOKUP(A190,'1227-29耗量'!$A$1:$C$602,3,FALSE),0)</f>
        <v>0</v>
      </c>
      <c r="E190" s="7">
        <f t="shared" si="4"/>
        <v>0</v>
      </c>
      <c r="F190" s="7" t="str">
        <f t="shared" si="5"/>
        <v>無資料</v>
      </c>
      <c r="G190" s="7" t="e">
        <f>VLOOKUP(A190,Sheet5!$A$2:$D$415,4,FALSE)</f>
        <v>#N/A</v>
      </c>
      <c r="H190" s="7" t="e">
        <f>VLOOKUP(A190,Sheet5!$A$2:$D$415,3,FALSE)</f>
        <v>#N/A</v>
      </c>
      <c r="I190" s="7" t="e">
        <f>VLOOKUP(A190,'1201-29周均耗用'!$A$1:$C$602,3,FALSE)</f>
        <v>#N/A</v>
      </c>
    </row>
    <row r="191" spans="1:9">
      <c r="A191" s="13" t="s">
        <v>387</v>
      </c>
      <c r="B191" s="14" t="s">
        <v>388</v>
      </c>
      <c r="C191" s="13">
        <v>464</v>
      </c>
      <c r="D191" s="7">
        <f>IFERROR(VLOOKUP(A191,'1227-29耗量'!$A$1:$C$602,3,FALSE),0)</f>
        <v>12</v>
      </c>
      <c r="E191" s="7">
        <f t="shared" si="4"/>
        <v>452</v>
      </c>
      <c r="F191" s="7" t="str">
        <f t="shared" si="5"/>
        <v>無資料</v>
      </c>
      <c r="G191" s="7" t="e">
        <f>VLOOKUP(A191,Sheet5!$A$2:$D$415,4,FALSE)</f>
        <v>#N/A</v>
      </c>
      <c r="H191" s="7" t="e">
        <f>VLOOKUP(A191,Sheet5!$A$2:$D$415,3,FALSE)</f>
        <v>#N/A</v>
      </c>
      <c r="I191" s="7">
        <f>VLOOKUP(A191,'1201-29周均耗用'!$A$1:$C$602,3,FALSE)</f>
        <v>133.8</v>
      </c>
    </row>
    <row r="192" spans="1:9">
      <c r="A192" s="13" t="s">
        <v>389</v>
      </c>
      <c r="B192" s="14" t="s">
        <v>390</v>
      </c>
      <c r="C192" s="13">
        <v>288</v>
      </c>
      <c r="D192" s="7">
        <f>VLOOKUP(A192,'1227-29耗量'!$A$1:$C$602,3,FALSE)</f>
        <v>86</v>
      </c>
      <c r="E192" s="7">
        <f t="shared" si="4"/>
        <v>202</v>
      </c>
      <c r="F192" s="7" t="str">
        <f t="shared" si="5"/>
        <v>錯誤</v>
      </c>
      <c r="G192" s="7">
        <f>VLOOKUP(A192,Sheet5!$A$2:$D$415,4,FALSE)</f>
        <v>771</v>
      </c>
      <c r="H192" s="7">
        <f>VLOOKUP(A192,Sheet5!$A$2:$D$415,3,FALSE)</f>
        <v>1000</v>
      </c>
      <c r="I192" s="7">
        <f>VLOOKUP(A192,'1201-29周均耗用'!$A$1:$C$602,3,FALSE)</f>
        <v>300.5</v>
      </c>
    </row>
    <row r="193" spans="1:9">
      <c r="A193" s="13" t="s">
        <v>391</v>
      </c>
      <c r="B193" s="14" t="s">
        <v>392</v>
      </c>
      <c r="C193" s="13">
        <v>524</v>
      </c>
      <c r="D193" s="7">
        <f>IFERROR(VLOOKUP(A193,'1227-29耗量'!$A$1:$C$602,3,FALSE),0)</f>
        <v>2</v>
      </c>
      <c r="E193" s="7">
        <f t="shared" si="4"/>
        <v>522</v>
      </c>
      <c r="F193" s="7" t="str">
        <f t="shared" si="5"/>
        <v>無資料</v>
      </c>
      <c r="G193" s="7" t="e">
        <f>VLOOKUP(A193,Sheet5!$A$2:$D$415,4,FALSE)</f>
        <v>#N/A</v>
      </c>
      <c r="H193" s="7" t="e">
        <f>VLOOKUP(A193,Sheet5!$A$2:$D$415,3,FALSE)</f>
        <v>#N/A</v>
      </c>
      <c r="I193" s="7">
        <f>VLOOKUP(A193,'1201-29周均耗用'!$A$1:$C$602,3,FALSE)</f>
        <v>30.2</v>
      </c>
    </row>
    <row r="194" spans="1:9">
      <c r="A194" s="13" t="s">
        <v>393</v>
      </c>
      <c r="B194" s="14" t="s">
        <v>394</v>
      </c>
      <c r="C194" s="13">
        <v>0</v>
      </c>
      <c r="D194" s="7">
        <f>IFERROR(VLOOKUP(A194,'1227-29耗量'!$A$1:$C$602,3,FALSE),0)</f>
        <v>0</v>
      </c>
      <c r="E194" s="7">
        <f t="shared" si="4"/>
        <v>0</v>
      </c>
      <c r="F194" s="7" t="str">
        <f t="shared" si="5"/>
        <v>無資料</v>
      </c>
      <c r="G194" s="7" t="e">
        <f>VLOOKUP(A194,Sheet5!$A$2:$D$415,4,FALSE)</f>
        <v>#N/A</v>
      </c>
      <c r="H194" s="7" t="e">
        <f>VLOOKUP(A194,Sheet5!$A$2:$D$415,3,FALSE)</f>
        <v>#N/A</v>
      </c>
      <c r="I194" s="7" t="e">
        <f>VLOOKUP(A194,'1201-29周均耗用'!$A$1:$C$602,3,FALSE)</f>
        <v>#N/A</v>
      </c>
    </row>
    <row r="195" spans="1:9">
      <c r="A195" s="13" t="s">
        <v>395</v>
      </c>
      <c r="B195" s="14" t="s">
        <v>396</v>
      </c>
      <c r="C195" s="13">
        <v>12</v>
      </c>
      <c r="D195" s="7">
        <f>IFERROR(VLOOKUP(A195,'1227-29耗量'!$A$1:$C$602,3,FALSE),0)</f>
        <v>0</v>
      </c>
      <c r="E195" s="7">
        <f t="shared" ref="E195:E258" si="6">C195-D195</f>
        <v>12</v>
      </c>
      <c r="F195" s="7" t="str">
        <f t="shared" ref="F195:F258" si="7">IFERROR(IF(E195=G195,"OK","錯誤"),"無資料")</f>
        <v>無資料</v>
      </c>
      <c r="G195" s="7" t="e">
        <f>VLOOKUP(A195,Sheet5!$A$2:$D$415,4,FALSE)</f>
        <v>#N/A</v>
      </c>
      <c r="H195" s="7" t="e">
        <f>VLOOKUP(A195,Sheet5!$A$2:$D$415,3,FALSE)</f>
        <v>#N/A</v>
      </c>
      <c r="I195" s="7" t="e">
        <f>VLOOKUP(A195,'1201-29周均耗用'!$A$1:$C$602,3,FALSE)</f>
        <v>#N/A</v>
      </c>
    </row>
    <row r="196" spans="1:9">
      <c r="A196" s="13" t="s">
        <v>397</v>
      </c>
      <c r="B196" s="14" t="s">
        <v>398</v>
      </c>
      <c r="C196" s="13">
        <v>430</v>
      </c>
      <c r="D196" s="7">
        <f>IFERROR(VLOOKUP(A196,'1227-29耗量'!$A$1:$C$602,3,FALSE),0)</f>
        <v>2</v>
      </c>
      <c r="E196" s="7">
        <f t="shared" si="6"/>
        <v>428</v>
      </c>
      <c r="F196" s="7" t="str">
        <f t="shared" si="7"/>
        <v>無資料</v>
      </c>
      <c r="G196" s="7" t="e">
        <f>VLOOKUP(A196,Sheet5!$A$2:$D$415,4,FALSE)</f>
        <v>#N/A</v>
      </c>
      <c r="H196" s="7" t="e">
        <f>VLOOKUP(A196,Sheet5!$A$2:$D$415,3,FALSE)</f>
        <v>#N/A</v>
      </c>
      <c r="I196" s="7">
        <f>VLOOKUP(A196,'1201-29周均耗用'!$A$1:$C$602,3,FALSE)</f>
        <v>38.8</v>
      </c>
    </row>
    <row r="197" spans="1:9">
      <c r="A197" s="13" t="s">
        <v>399</v>
      </c>
      <c r="B197" s="14" t="s">
        <v>400</v>
      </c>
      <c r="C197" s="13">
        <v>203</v>
      </c>
      <c r="D197" s="7">
        <f>IFERROR(VLOOKUP(A197,'1227-29耗量'!$A$1:$C$602,3,FALSE),0)</f>
        <v>0</v>
      </c>
      <c r="E197" s="7">
        <f t="shared" si="6"/>
        <v>203</v>
      </c>
      <c r="F197" s="7" t="str">
        <f t="shared" si="7"/>
        <v>無資料</v>
      </c>
      <c r="G197" s="7" t="e">
        <f>VLOOKUP(A197,Sheet5!$A$2:$D$415,4,FALSE)</f>
        <v>#N/A</v>
      </c>
      <c r="H197" s="7" t="e">
        <f>VLOOKUP(A197,Sheet5!$A$2:$D$415,3,FALSE)</f>
        <v>#N/A</v>
      </c>
      <c r="I197" s="7">
        <f>VLOOKUP(A197,'1201-29周均耗用'!$A$1:$C$602,3,FALSE)</f>
        <v>16</v>
      </c>
    </row>
    <row r="198" spans="1:9">
      <c r="A198" s="13" t="s">
        <v>401</v>
      </c>
      <c r="B198" s="14" t="s">
        <v>402</v>
      </c>
      <c r="C198" s="13">
        <v>77</v>
      </c>
      <c r="D198" s="7">
        <f>IFERROR(VLOOKUP(A198,'1227-29耗量'!$A$1:$C$602,3,FALSE),0)</f>
        <v>0</v>
      </c>
      <c r="E198" s="7">
        <f t="shared" si="6"/>
        <v>77</v>
      </c>
      <c r="F198" s="7" t="str">
        <f t="shared" si="7"/>
        <v>無資料</v>
      </c>
      <c r="G198" s="7" t="e">
        <f>VLOOKUP(A198,Sheet5!$A$2:$D$415,4,FALSE)</f>
        <v>#N/A</v>
      </c>
      <c r="H198" s="7" t="e">
        <f>VLOOKUP(A198,Sheet5!$A$2:$D$415,3,FALSE)</f>
        <v>#N/A</v>
      </c>
      <c r="I198" s="7" t="e">
        <f>VLOOKUP(A198,'1201-29周均耗用'!$A$1:$C$602,3,FALSE)</f>
        <v>#N/A</v>
      </c>
    </row>
    <row r="199" spans="1:9">
      <c r="A199" s="13" t="s">
        <v>403</v>
      </c>
      <c r="B199" s="14" t="s">
        <v>404</v>
      </c>
      <c r="C199" s="13">
        <v>167</v>
      </c>
      <c r="D199" s="7">
        <f>IFERROR(VLOOKUP(A199,'1227-29耗量'!$A$1:$C$602,3,FALSE),0)</f>
        <v>1</v>
      </c>
      <c r="E199" s="7">
        <f t="shared" si="6"/>
        <v>166</v>
      </c>
      <c r="F199" s="7" t="str">
        <f t="shared" si="7"/>
        <v>無資料</v>
      </c>
      <c r="G199" s="7" t="e">
        <f>VLOOKUP(A199,Sheet5!$A$2:$D$415,4,FALSE)</f>
        <v>#N/A</v>
      </c>
      <c r="H199" s="7" t="e">
        <f>VLOOKUP(A199,Sheet5!$A$2:$D$415,3,FALSE)</f>
        <v>#N/A</v>
      </c>
      <c r="I199" s="7">
        <f>VLOOKUP(A199,'1201-29周均耗用'!$A$1:$C$602,3,FALSE)</f>
        <v>8.2</v>
      </c>
    </row>
    <row r="200" spans="1:9">
      <c r="A200" s="13" t="s">
        <v>405</v>
      </c>
      <c r="B200" s="14" t="s">
        <v>406</v>
      </c>
      <c r="C200" s="13">
        <v>0</v>
      </c>
      <c r="D200" s="7">
        <f>IFERROR(VLOOKUP(A200,'1227-29耗量'!$A$1:$C$602,3,FALSE),0)</f>
        <v>0</v>
      </c>
      <c r="E200" s="7">
        <f t="shared" si="6"/>
        <v>0</v>
      </c>
      <c r="F200" s="7" t="str">
        <f t="shared" si="7"/>
        <v>無資料</v>
      </c>
      <c r="G200" s="7" t="e">
        <f>VLOOKUP(A200,Sheet5!$A$2:$D$415,4,FALSE)</f>
        <v>#N/A</v>
      </c>
      <c r="H200" s="7" t="e">
        <f>VLOOKUP(A200,Sheet5!$A$2:$D$415,3,FALSE)</f>
        <v>#N/A</v>
      </c>
      <c r="I200" s="7" t="e">
        <f>VLOOKUP(A200,'1201-29周均耗用'!$A$1:$C$602,3,FALSE)</f>
        <v>#N/A</v>
      </c>
    </row>
    <row r="201" spans="1:9">
      <c r="A201" s="13" t="s">
        <v>407</v>
      </c>
      <c r="B201" s="14" t="s">
        <v>408</v>
      </c>
      <c r="C201" s="13">
        <v>200</v>
      </c>
      <c r="D201" s="7">
        <f>IFERROR(VLOOKUP(A201,'1227-29耗量'!$A$1:$C$602,3,FALSE),0)</f>
        <v>0</v>
      </c>
      <c r="E201" s="7">
        <f t="shared" si="6"/>
        <v>200</v>
      </c>
      <c r="F201" s="7" t="str">
        <f t="shared" si="7"/>
        <v>無資料</v>
      </c>
      <c r="G201" s="7" t="e">
        <f>VLOOKUP(A201,Sheet5!$A$2:$D$415,4,FALSE)</f>
        <v>#N/A</v>
      </c>
      <c r="H201" s="7" t="e">
        <f>VLOOKUP(A201,Sheet5!$A$2:$D$415,3,FALSE)</f>
        <v>#N/A</v>
      </c>
      <c r="I201" s="7">
        <f>VLOOKUP(A201,'1201-29周均耗用'!$A$1:$C$602,3,FALSE)</f>
        <v>39.5</v>
      </c>
    </row>
    <row r="202" spans="1:9">
      <c r="A202" s="13" t="s">
        <v>409</v>
      </c>
      <c r="B202" s="14" t="s">
        <v>410</v>
      </c>
      <c r="C202" s="13">
        <v>1001</v>
      </c>
      <c r="D202" s="7">
        <f>IFERROR(VLOOKUP(A202,'1227-29耗量'!$A$1:$C$602,3,FALSE),0)</f>
        <v>35</v>
      </c>
      <c r="E202" s="7">
        <f t="shared" si="6"/>
        <v>966</v>
      </c>
      <c r="F202" s="7" t="str">
        <f t="shared" si="7"/>
        <v>無資料</v>
      </c>
      <c r="G202" s="7" t="e">
        <f>VLOOKUP(A202,Sheet5!$A$2:$D$415,4,FALSE)</f>
        <v>#N/A</v>
      </c>
      <c r="H202" s="7" t="e">
        <f>VLOOKUP(A202,Sheet5!$A$2:$D$415,3,FALSE)</f>
        <v>#N/A</v>
      </c>
      <c r="I202" s="7">
        <f>VLOOKUP(A202,'1201-29周均耗用'!$A$1:$C$602,3,FALSE)</f>
        <v>31.8</v>
      </c>
    </row>
    <row r="203" spans="1:9">
      <c r="A203" s="13" t="s">
        <v>411</v>
      </c>
      <c r="B203" s="14" t="s">
        <v>412</v>
      </c>
      <c r="C203" s="13">
        <v>2</v>
      </c>
      <c r="D203" s="7">
        <f>VLOOKUP(A203,'1227-29耗量'!$A$1:$C$602,3,FALSE)</f>
        <v>5</v>
      </c>
      <c r="E203" s="7">
        <f t="shared" si="6"/>
        <v>-3</v>
      </c>
      <c r="F203" s="7" t="str">
        <f t="shared" si="7"/>
        <v>錯誤</v>
      </c>
      <c r="G203" s="7">
        <f>VLOOKUP(A203,Sheet5!$A$2:$D$415,4,FALSE)</f>
        <v>-7</v>
      </c>
      <c r="H203" s="7">
        <f>VLOOKUP(A203,Sheet5!$A$2:$D$415,3,FALSE)</f>
        <v>0</v>
      </c>
      <c r="I203" s="7" t="e">
        <f>VLOOKUP(A203,'1201-29周均耗用'!$A$1:$C$602,3,FALSE)</f>
        <v>#N/A</v>
      </c>
    </row>
    <row r="204" spans="1:9">
      <c r="A204" s="13" t="s">
        <v>413</v>
      </c>
      <c r="B204" s="14" t="s">
        <v>414</v>
      </c>
      <c r="C204" s="13">
        <v>86</v>
      </c>
      <c r="D204" s="7">
        <f>VLOOKUP(A204,'1227-29耗量'!$A$1:$C$602,3,FALSE)</f>
        <v>4</v>
      </c>
      <c r="E204" s="7">
        <f t="shared" si="6"/>
        <v>82</v>
      </c>
      <c r="F204" s="7" t="str">
        <f t="shared" si="7"/>
        <v>錯誤</v>
      </c>
      <c r="G204" s="7">
        <f>VLOOKUP(A204,Sheet5!$A$2:$D$415,4,FALSE)</f>
        <v>58</v>
      </c>
      <c r="H204" s="7">
        <f>VLOOKUP(A204,Sheet5!$A$2:$D$415,3,FALSE)</f>
        <v>80</v>
      </c>
      <c r="I204" s="7">
        <f>VLOOKUP(A204,'1201-29周均耗用'!$A$1:$C$602,3,FALSE)</f>
        <v>20.2</v>
      </c>
    </row>
    <row r="205" spans="1:9">
      <c r="A205" s="13" t="s">
        <v>415</v>
      </c>
      <c r="B205" s="14" t="s">
        <v>416</v>
      </c>
      <c r="C205" s="13">
        <v>448</v>
      </c>
      <c r="D205" s="7">
        <f>VLOOKUP(A205,'1227-29耗量'!$A$1:$C$602,3,FALSE)</f>
        <v>102</v>
      </c>
      <c r="E205" s="7">
        <f t="shared" si="6"/>
        <v>346</v>
      </c>
      <c r="F205" s="7" t="str">
        <f t="shared" si="7"/>
        <v>錯誤</v>
      </c>
      <c r="G205" s="7">
        <f>VLOOKUP(A205,Sheet5!$A$2:$D$415,4,FALSE)</f>
        <v>87</v>
      </c>
      <c r="H205" s="7">
        <f>VLOOKUP(A205,Sheet5!$A$2:$D$415,3,FALSE)</f>
        <v>1000</v>
      </c>
      <c r="I205" s="7">
        <f>VLOOKUP(A205,'1201-29周均耗用'!$A$1:$C$602,3,FALSE)</f>
        <v>437.8</v>
      </c>
    </row>
    <row r="206" spans="1:9">
      <c r="A206" s="13" t="s">
        <v>417</v>
      </c>
      <c r="B206" s="14" t="s">
        <v>418</v>
      </c>
      <c r="C206" s="13">
        <v>332</v>
      </c>
      <c r="D206" s="7">
        <f>VLOOKUP(A206,'1227-29耗量'!$A$1:$C$602,3,FALSE)</f>
        <v>8</v>
      </c>
      <c r="E206" s="7">
        <f t="shared" si="6"/>
        <v>324</v>
      </c>
      <c r="F206" s="7" t="str">
        <f t="shared" si="7"/>
        <v>錯誤</v>
      </c>
      <c r="G206" s="7">
        <f>VLOOKUP(A206,Sheet5!$A$2:$D$415,4,FALSE)</f>
        <v>196</v>
      </c>
      <c r="H206" s="7">
        <f>VLOOKUP(A206,Sheet5!$A$2:$D$415,3,FALSE)</f>
        <v>400</v>
      </c>
      <c r="I206" s="7">
        <f>VLOOKUP(A206,'1201-29周均耗用'!$A$1:$C$602,3,FALSE)</f>
        <v>114.2</v>
      </c>
    </row>
    <row r="207" spans="1:9">
      <c r="A207" s="13" t="s">
        <v>419</v>
      </c>
      <c r="B207" s="14" t="s">
        <v>420</v>
      </c>
      <c r="C207" s="13">
        <v>969</v>
      </c>
      <c r="D207" s="7">
        <f>IFERROR(VLOOKUP(A207,'1227-29耗量'!$A$1:$C$602,3,FALSE),0)</f>
        <v>3</v>
      </c>
      <c r="E207" s="7">
        <f t="shared" si="6"/>
        <v>966</v>
      </c>
      <c r="F207" s="7" t="str">
        <f t="shared" si="7"/>
        <v>無資料</v>
      </c>
      <c r="G207" s="7" t="e">
        <f>VLOOKUP(A207,Sheet5!$A$2:$D$415,4,FALSE)</f>
        <v>#N/A</v>
      </c>
      <c r="H207" s="7" t="e">
        <f>VLOOKUP(A207,Sheet5!$A$2:$D$415,3,FALSE)</f>
        <v>#N/A</v>
      </c>
      <c r="I207" s="7">
        <f>VLOOKUP(A207,'1201-29周均耗用'!$A$1:$C$602,3,FALSE)</f>
        <v>124.8</v>
      </c>
    </row>
    <row r="208" spans="1:9">
      <c r="A208" s="13" t="s">
        <v>421</v>
      </c>
      <c r="B208" s="14" t="s">
        <v>422</v>
      </c>
      <c r="C208" s="13">
        <v>1966</v>
      </c>
      <c r="D208" s="7">
        <f>VLOOKUP(A208,'1227-29耗量'!$A$1:$C$602,3,FALSE)</f>
        <v>187</v>
      </c>
      <c r="E208" s="7">
        <f t="shared" si="6"/>
        <v>1779</v>
      </c>
      <c r="F208" s="7" t="str">
        <f t="shared" si="7"/>
        <v>錯誤</v>
      </c>
      <c r="G208" s="7">
        <f>VLOOKUP(A208,Sheet5!$A$2:$D$415,4,FALSE)</f>
        <v>1108</v>
      </c>
      <c r="H208" s="7">
        <f>VLOOKUP(A208,Sheet5!$A$2:$D$415,3,FALSE)</f>
        <v>3528</v>
      </c>
      <c r="I208" s="7">
        <f>VLOOKUP(A208,'1201-29周均耗用'!$A$1:$C$602,3,FALSE)</f>
        <v>1005.5</v>
      </c>
    </row>
    <row r="209" spans="1:9">
      <c r="A209" s="13" t="s">
        <v>423</v>
      </c>
      <c r="B209" s="14" t="s">
        <v>424</v>
      </c>
      <c r="C209" s="13">
        <v>279</v>
      </c>
      <c r="D209" s="7">
        <f>IFERROR(VLOOKUP(A209,'1227-29耗量'!$A$1:$C$602,3,FALSE),0)</f>
        <v>26</v>
      </c>
      <c r="E209" s="7">
        <f t="shared" si="6"/>
        <v>253</v>
      </c>
      <c r="F209" s="7" t="str">
        <f t="shared" si="7"/>
        <v>無資料</v>
      </c>
      <c r="G209" s="7" t="e">
        <f>VLOOKUP(A209,Sheet5!$A$2:$D$415,4,FALSE)</f>
        <v>#N/A</v>
      </c>
      <c r="H209" s="7" t="e">
        <f>VLOOKUP(A209,Sheet5!$A$2:$D$415,3,FALSE)</f>
        <v>#N/A</v>
      </c>
      <c r="I209" s="7">
        <f>VLOOKUP(A209,'1201-29周均耗用'!$A$1:$C$602,3,FALSE)</f>
        <v>83.2</v>
      </c>
    </row>
    <row r="210" spans="1:9">
      <c r="A210" s="13" t="s">
        <v>425</v>
      </c>
      <c r="B210" s="14" t="s">
        <v>426</v>
      </c>
      <c r="C210" s="13">
        <v>272</v>
      </c>
      <c r="D210" s="7">
        <f>IFERROR(VLOOKUP(A210,'1227-29耗量'!$A$1:$C$602,3,FALSE),0)</f>
        <v>16</v>
      </c>
      <c r="E210" s="7">
        <f t="shared" si="6"/>
        <v>256</v>
      </c>
      <c r="F210" s="7" t="str">
        <f t="shared" si="7"/>
        <v>無資料</v>
      </c>
      <c r="G210" s="7" t="e">
        <f>VLOOKUP(A210,Sheet5!$A$2:$D$415,4,FALSE)</f>
        <v>#N/A</v>
      </c>
      <c r="H210" s="7" t="e">
        <f>VLOOKUP(A210,Sheet5!$A$2:$D$415,3,FALSE)</f>
        <v>#N/A</v>
      </c>
      <c r="I210" s="7">
        <f>VLOOKUP(A210,'1201-29周均耗用'!$A$1:$C$602,3,FALSE)</f>
        <v>41.8</v>
      </c>
    </row>
    <row r="211" spans="1:9">
      <c r="A211" s="13" t="s">
        <v>427</v>
      </c>
      <c r="B211" s="14" t="s">
        <v>428</v>
      </c>
      <c r="C211" s="13">
        <v>6120</v>
      </c>
      <c r="D211" s="7">
        <f>VLOOKUP(A211,'1227-29耗量'!$A$1:$C$602,3,FALSE)</f>
        <v>307</v>
      </c>
      <c r="E211" s="7">
        <f t="shared" si="6"/>
        <v>5813</v>
      </c>
      <c r="F211" s="7" t="str">
        <f t="shared" si="7"/>
        <v>錯誤</v>
      </c>
      <c r="G211" s="7">
        <f>VLOOKUP(A211,Sheet5!$A$2:$D$415,4,FALSE)</f>
        <v>2426</v>
      </c>
      <c r="H211" s="7">
        <f>VLOOKUP(A211,Sheet5!$A$2:$D$415,3,FALSE)</f>
        <v>6000</v>
      </c>
      <c r="I211" s="7">
        <f>VLOOKUP(A211,'1201-29周均耗用'!$A$1:$C$602,3,FALSE)</f>
        <v>1487.5</v>
      </c>
    </row>
    <row r="212" spans="1:9">
      <c r="A212" s="13" t="s">
        <v>429</v>
      </c>
      <c r="B212" s="14" t="s">
        <v>430</v>
      </c>
      <c r="C212" s="13">
        <v>157</v>
      </c>
      <c r="D212" s="7">
        <f>VLOOKUP(A212,'1227-29耗量'!$A$1:$C$602,3,FALSE)</f>
        <v>3</v>
      </c>
      <c r="E212" s="7">
        <f t="shared" si="6"/>
        <v>154</v>
      </c>
      <c r="F212" s="7" t="str">
        <f t="shared" si="7"/>
        <v>錯誤</v>
      </c>
      <c r="G212" s="7">
        <f>VLOOKUP(A212,Sheet5!$A$2:$D$415,4,FALSE)</f>
        <v>108</v>
      </c>
      <c r="H212" s="7">
        <f>VLOOKUP(A212,Sheet5!$A$2:$D$415,3,FALSE)</f>
        <v>100</v>
      </c>
      <c r="I212" s="7">
        <f>VLOOKUP(A212,'1201-29周均耗用'!$A$1:$C$602,3,FALSE)</f>
        <v>29.8</v>
      </c>
    </row>
    <row r="213" spans="1:9">
      <c r="A213" s="13" t="s">
        <v>431</v>
      </c>
      <c r="B213" s="14" t="s">
        <v>432</v>
      </c>
      <c r="C213" s="13">
        <v>127</v>
      </c>
      <c r="D213" s="7">
        <f>IFERROR(VLOOKUP(A213,'1227-29耗量'!$A$1:$C$602,3,FALSE),0)</f>
        <v>0</v>
      </c>
      <c r="E213" s="7">
        <f t="shared" si="6"/>
        <v>127</v>
      </c>
      <c r="F213" s="7" t="str">
        <f t="shared" si="7"/>
        <v>無資料</v>
      </c>
      <c r="G213" s="7" t="e">
        <f>VLOOKUP(A213,Sheet5!$A$2:$D$415,4,FALSE)</f>
        <v>#N/A</v>
      </c>
      <c r="H213" s="7" t="e">
        <f>VLOOKUP(A213,Sheet5!$A$2:$D$415,3,FALSE)</f>
        <v>#N/A</v>
      </c>
      <c r="I213" s="7" t="e">
        <f>VLOOKUP(A213,'1201-29周均耗用'!$A$1:$C$602,3,FALSE)</f>
        <v>#N/A</v>
      </c>
    </row>
    <row r="214" spans="1:9">
      <c r="A214" s="13" t="s">
        <v>433</v>
      </c>
      <c r="B214" s="14" t="s">
        <v>434</v>
      </c>
      <c r="C214" s="13">
        <v>44</v>
      </c>
      <c r="D214" s="7">
        <f>IFERROR(VLOOKUP(A214,'1227-29耗量'!$A$1:$C$602,3,FALSE),0)</f>
        <v>0</v>
      </c>
      <c r="E214" s="7">
        <f t="shared" si="6"/>
        <v>44</v>
      </c>
      <c r="F214" s="7" t="str">
        <f t="shared" si="7"/>
        <v>無資料</v>
      </c>
      <c r="G214" s="7" t="e">
        <f>VLOOKUP(A214,Sheet5!$A$2:$D$415,4,FALSE)</f>
        <v>#N/A</v>
      </c>
      <c r="H214" s="7" t="e">
        <f>VLOOKUP(A214,Sheet5!$A$2:$D$415,3,FALSE)</f>
        <v>#N/A</v>
      </c>
      <c r="I214" s="7" t="e">
        <f>VLOOKUP(A214,'1201-29周均耗用'!$A$1:$C$602,3,FALSE)</f>
        <v>#N/A</v>
      </c>
    </row>
    <row r="215" spans="1:9">
      <c r="A215" s="13" t="s">
        <v>435</v>
      </c>
      <c r="B215" s="14" t="s">
        <v>436</v>
      </c>
      <c r="C215" s="13">
        <v>105</v>
      </c>
      <c r="D215" s="7">
        <f>IFERROR(VLOOKUP(A215,'1227-29耗量'!$A$1:$C$602,3,FALSE),0)</f>
        <v>0</v>
      </c>
      <c r="E215" s="7">
        <f t="shared" si="6"/>
        <v>105</v>
      </c>
      <c r="F215" s="7" t="str">
        <f t="shared" si="7"/>
        <v>無資料</v>
      </c>
      <c r="G215" s="7" t="e">
        <f>VLOOKUP(A215,Sheet5!$A$2:$D$415,4,FALSE)</f>
        <v>#N/A</v>
      </c>
      <c r="H215" s="7" t="e">
        <f>VLOOKUP(A215,Sheet5!$A$2:$D$415,3,FALSE)</f>
        <v>#N/A</v>
      </c>
      <c r="I215" s="7" t="e">
        <f>VLOOKUP(A215,'1201-29周均耗用'!$A$1:$C$602,3,FALSE)</f>
        <v>#N/A</v>
      </c>
    </row>
    <row r="216" spans="1:9">
      <c r="A216" s="13" t="s">
        <v>437</v>
      </c>
      <c r="B216" s="14" t="s">
        <v>438</v>
      </c>
      <c r="C216" s="13">
        <v>1582</v>
      </c>
      <c r="D216" s="7">
        <f>VLOOKUP(A216,'1227-29耗量'!$A$1:$C$602,3,FALSE)</f>
        <v>177</v>
      </c>
      <c r="E216" s="7">
        <f t="shared" si="6"/>
        <v>1405</v>
      </c>
      <c r="F216" s="7" t="str">
        <f t="shared" si="7"/>
        <v>錯誤</v>
      </c>
      <c r="G216" s="7">
        <f>VLOOKUP(A216,Sheet5!$A$2:$D$415,4,FALSE)</f>
        <v>940</v>
      </c>
      <c r="H216" s="7">
        <f>VLOOKUP(A216,Sheet5!$A$2:$D$415,3,FALSE)</f>
        <v>2400</v>
      </c>
      <c r="I216" s="7">
        <f>VLOOKUP(A216,'1201-29周均耗用'!$A$1:$C$602,3,FALSE)</f>
        <v>753</v>
      </c>
    </row>
    <row r="217" spans="1:9">
      <c r="A217" s="13" t="s">
        <v>439</v>
      </c>
      <c r="B217" s="14" t="s">
        <v>440</v>
      </c>
      <c r="C217" s="13">
        <v>223</v>
      </c>
      <c r="D217" s="7">
        <f>VLOOKUP(A217,'1227-29耗量'!$A$1:$C$602,3,FALSE)</f>
        <v>23</v>
      </c>
      <c r="E217" s="7">
        <f t="shared" si="6"/>
        <v>200</v>
      </c>
      <c r="F217" s="7" t="str">
        <f t="shared" si="7"/>
        <v>錯誤</v>
      </c>
      <c r="G217" s="7">
        <f>VLOOKUP(A217,Sheet5!$A$2:$D$415,4,FALSE)</f>
        <v>111</v>
      </c>
      <c r="H217" s="7">
        <f>VLOOKUP(A217,Sheet5!$A$2:$D$415,3,FALSE)</f>
        <v>350</v>
      </c>
      <c r="I217" s="7" t="e">
        <f>VLOOKUP(A217,'1201-29周均耗用'!$A$1:$C$602,3,FALSE)</f>
        <v>#N/A</v>
      </c>
    </row>
    <row r="218" spans="1:9">
      <c r="A218" s="13" t="s">
        <v>441</v>
      </c>
      <c r="B218" s="14" t="s">
        <v>442</v>
      </c>
      <c r="C218" s="13">
        <v>0</v>
      </c>
      <c r="D218" s="7">
        <f>IFERROR(VLOOKUP(A218,'1227-29耗量'!$A$1:$C$602,3,FALSE),0)</f>
        <v>0</v>
      </c>
      <c r="E218" s="7">
        <f t="shared" si="6"/>
        <v>0</v>
      </c>
      <c r="F218" s="7" t="str">
        <f t="shared" si="7"/>
        <v>無資料</v>
      </c>
      <c r="G218" s="7" t="e">
        <f>VLOOKUP(A218,Sheet5!$A$2:$D$415,4,FALSE)</f>
        <v>#N/A</v>
      </c>
      <c r="H218" s="7" t="e">
        <f>VLOOKUP(A218,Sheet5!$A$2:$D$415,3,FALSE)</f>
        <v>#N/A</v>
      </c>
      <c r="I218" s="7" t="e">
        <f>VLOOKUP(A218,'1201-29周均耗用'!$A$1:$C$602,3,FALSE)</f>
        <v>#N/A</v>
      </c>
    </row>
    <row r="219" spans="1:9">
      <c r="A219" s="13" t="s">
        <v>443</v>
      </c>
      <c r="B219" s="14" t="s">
        <v>444</v>
      </c>
      <c r="C219" s="13">
        <v>0</v>
      </c>
      <c r="D219" s="7">
        <f>IFERROR(VLOOKUP(A219,'1227-29耗量'!$A$1:$C$602,3,FALSE),0)</f>
        <v>0</v>
      </c>
      <c r="E219" s="7">
        <f t="shared" si="6"/>
        <v>0</v>
      </c>
      <c r="F219" s="7" t="str">
        <f t="shared" si="7"/>
        <v>無資料</v>
      </c>
      <c r="G219" s="7" t="e">
        <f>VLOOKUP(A219,Sheet5!$A$2:$D$415,4,FALSE)</f>
        <v>#N/A</v>
      </c>
      <c r="H219" s="7" t="e">
        <f>VLOOKUP(A219,Sheet5!$A$2:$D$415,3,FALSE)</f>
        <v>#N/A</v>
      </c>
      <c r="I219" s="7" t="e">
        <f>VLOOKUP(A219,'1201-29周均耗用'!$A$1:$C$602,3,FALSE)</f>
        <v>#N/A</v>
      </c>
    </row>
    <row r="220" spans="1:9">
      <c r="A220" s="13" t="s">
        <v>445</v>
      </c>
      <c r="B220" s="14" t="s">
        <v>446</v>
      </c>
      <c r="C220" s="13">
        <v>26</v>
      </c>
      <c r="D220" s="7">
        <f>IFERROR(VLOOKUP(A220,'1227-29耗量'!$A$1:$C$602,3,FALSE),0)</f>
        <v>0</v>
      </c>
      <c r="E220" s="7">
        <f t="shared" si="6"/>
        <v>26</v>
      </c>
      <c r="F220" s="7" t="str">
        <f t="shared" si="7"/>
        <v>無資料</v>
      </c>
      <c r="G220" s="7" t="e">
        <f>VLOOKUP(A220,Sheet5!$A$2:$D$415,4,FALSE)</f>
        <v>#N/A</v>
      </c>
      <c r="H220" s="7" t="e">
        <f>VLOOKUP(A220,Sheet5!$A$2:$D$415,3,FALSE)</f>
        <v>#N/A</v>
      </c>
      <c r="I220" s="7">
        <f>VLOOKUP(A220,'1201-29周均耗用'!$A$1:$C$602,3,FALSE)</f>
        <v>1.8</v>
      </c>
    </row>
    <row r="221" spans="1:9">
      <c r="A221" s="13" t="s">
        <v>447</v>
      </c>
      <c r="B221" s="14" t="s">
        <v>448</v>
      </c>
      <c r="C221" s="13">
        <v>31</v>
      </c>
      <c r="D221" s="7">
        <f>IFERROR(VLOOKUP(A221,'1227-29耗量'!$A$1:$C$602,3,FALSE),0)</f>
        <v>0</v>
      </c>
      <c r="E221" s="7">
        <f t="shared" si="6"/>
        <v>31</v>
      </c>
      <c r="F221" s="7" t="str">
        <f t="shared" si="7"/>
        <v>錯誤</v>
      </c>
      <c r="G221" s="7">
        <f>VLOOKUP(A221,Sheet5!$A$2:$D$415,4,FALSE)</f>
        <v>19</v>
      </c>
      <c r="H221" s="7">
        <f>VLOOKUP(A221,Sheet5!$A$2:$D$415,3,FALSE)</f>
        <v>20</v>
      </c>
      <c r="I221" s="7" t="e">
        <f>VLOOKUP(A221,'1201-29周均耗用'!$A$1:$C$602,3,FALSE)</f>
        <v>#N/A</v>
      </c>
    </row>
    <row r="222" spans="1:9">
      <c r="A222" s="13" t="s">
        <v>449</v>
      </c>
      <c r="B222" s="14" t="s">
        <v>450</v>
      </c>
      <c r="C222" s="13">
        <v>14</v>
      </c>
      <c r="D222" s="7">
        <f>IFERROR(VLOOKUP(A222,'1227-29耗量'!$A$1:$C$602,3,FALSE),0)</f>
        <v>0</v>
      </c>
      <c r="E222" s="7">
        <f t="shared" si="6"/>
        <v>14</v>
      </c>
      <c r="F222" s="7" t="str">
        <f t="shared" si="7"/>
        <v>無資料</v>
      </c>
      <c r="G222" s="7" t="e">
        <f>VLOOKUP(A222,Sheet5!$A$2:$D$415,4,FALSE)</f>
        <v>#N/A</v>
      </c>
      <c r="H222" s="7" t="e">
        <f>VLOOKUP(A222,Sheet5!$A$2:$D$415,3,FALSE)</f>
        <v>#N/A</v>
      </c>
      <c r="I222" s="7" t="e">
        <f>VLOOKUP(A222,'1201-29周均耗用'!$A$1:$C$602,3,FALSE)</f>
        <v>#N/A</v>
      </c>
    </row>
    <row r="223" spans="1:9">
      <c r="A223" s="13" t="s">
        <v>451</v>
      </c>
      <c r="B223" s="14" t="s">
        <v>452</v>
      </c>
      <c r="C223" s="13">
        <v>0</v>
      </c>
      <c r="D223" s="7">
        <f>IFERROR(VLOOKUP(A223,'1227-29耗量'!$A$1:$C$602,3,FALSE),0)</f>
        <v>0</v>
      </c>
      <c r="E223" s="7">
        <f t="shared" si="6"/>
        <v>0</v>
      </c>
      <c r="F223" s="7" t="str">
        <f t="shared" si="7"/>
        <v>無資料</v>
      </c>
      <c r="G223" s="7" t="e">
        <f>VLOOKUP(A223,Sheet5!$A$2:$D$415,4,FALSE)</f>
        <v>#N/A</v>
      </c>
      <c r="H223" s="7" t="e">
        <f>VLOOKUP(A223,Sheet5!$A$2:$D$415,3,FALSE)</f>
        <v>#N/A</v>
      </c>
      <c r="I223" s="7" t="e">
        <f>VLOOKUP(A223,'1201-29周均耗用'!$A$1:$C$602,3,FALSE)</f>
        <v>#N/A</v>
      </c>
    </row>
    <row r="224" spans="1:9">
      <c r="A224" s="13" t="s">
        <v>453</v>
      </c>
      <c r="B224" s="14" t="s">
        <v>454</v>
      </c>
      <c r="C224" s="13">
        <v>0</v>
      </c>
      <c r="D224" s="7">
        <f>IFERROR(VLOOKUP(A224,'1227-29耗量'!$A$1:$C$602,3,FALSE),0)</f>
        <v>0</v>
      </c>
      <c r="E224" s="7">
        <f t="shared" si="6"/>
        <v>0</v>
      </c>
      <c r="F224" s="7" t="str">
        <f t="shared" si="7"/>
        <v>無資料</v>
      </c>
      <c r="G224" s="7" t="e">
        <f>VLOOKUP(A224,Sheet5!$A$2:$D$415,4,FALSE)</f>
        <v>#N/A</v>
      </c>
      <c r="H224" s="7" t="e">
        <f>VLOOKUP(A224,Sheet5!$A$2:$D$415,3,FALSE)</f>
        <v>#N/A</v>
      </c>
      <c r="I224" s="7">
        <f>VLOOKUP(A224,'1201-29周均耗用'!$A$1:$C$602,3,FALSE)</f>
        <v>3.2</v>
      </c>
    </row>
    <row r="225" spans="1:9">
      <c r="A225" s="13" t="s">
        <v>455</v>
      </c>
      <c r="B225" s="14" t="s">
        <v>456</v>
      </c>
      <c r="C225" s="13">
        <v>2</v>
      </c>
      <c r="D225" s="7">
        <f>VLOOKUP(A225,'1227-29耗量'!$A$1:$C$602,3,FALSE)</f>
        <v>1</v>
      </c>
      <c r="E225" s="7">
        <f t="shared" si="6"/>
        <v>1</v>
      </c>
      <c r="F225" s="7" t="str">
        <f t="shared" si="7"/>
        <v>OK</v>
      </c>
      <c r="G225" s="7">
        <f>VLOOKUP(A225,Sheet5!$A$2:$D$415,4,FALSE)</f>
        <v>1</v>
      </c>
      <c r="H225" s="7">
        <f>VLOOKUP(A225,Sheet5!$A$2:$D$415,3,FALSE)</f>
        <v>12</v>
      </c>
      <c r="I225" s="7" t="e">
        <f>VLOOKUP(A225,'1201-29周均耗用'!$A$1:$C$602,3,FALSE)</f>
        <v>#N/A</v>
      </c>
    </row>
    <row r="226" spans="1:9">
      <c r="A226" s="13" t="s">
        <v>457</v>
      </c>
      <c r="B226" s="14" t="s">
        <v>458</v>
      </c>
      <c r="C226" s="13">
        <v>17</v>
      </c>
      <c r="D226" s="7">
        <f>IFERROR(VLOOKUP(A226,'1227-29耗量'!$A$1:$C$602,3,FALSE),0)</f>
        <v>0</v>
      </c>
      <c r="E226" s="7">
        <f t="shared" si="6"/>
        <v>17</v>
      </c>
      <c r="F226" s="7" t="str">
        <f t="shared" si="7"/>
        <v>無資料</v>
      </c>
      <c r="G226" s="7" t="e">
        <f>VLOOKUP(A226,Sheet5!$A$2:$D$415,4,FALSE)</f>
        <v>#N/A</v>
      </c>
      <c r="H226" s="7" t="e">
        <f>VLOOKUP(A226,Sheet5!$A$2:$D$415,3,FALSE)</f>
        <v>#N/A</v>
      </c>
      <c r="I226" s="7" t="e">
        <f>VLOOKUP(A226,'1201-29周均耗用'!$A$1:$C$602,3,FALSE)</f>
        <v>#N/A</v>
      </c>
    </row>
    <row r="227" spans="1:9">
      <c r="A227" s="13" t="s">
        <v>459</v>
      </c>
      <c r="B227" s="14" t="s">
        <v>460</v>
      </c>
      <c r="C227" s="13">
        <v>28</v>
      </c>
      <c r="D227" s="7">
        <f>IFERROR(VLOOKUP(A227,'1227-29耗量'!$A$1:$C$602,3,FALSE),0)</f>
        <v>0</v>
      </c>
      <c r="E227" s="7">
        <f t="shared" si="6"/>
        <v>28</v>
      </c>
      <c r="F227" s="7" t="str">
        <f t="shared" si="7"/>
        <v>無資料</v>
      </c>
      <c r="G227" s="7" t="e">
        <f>VLOOKUP(A227,Sheet5!$A$2:$D$415,4,FALSE)</f>
        <v>#N/A</v>
      </c>
      <c r="H227" s="7" t="e">
        <f>VLOOKUP(A227,Sheet5!$A$2:$D$415,3,FALSE)</f>
        <v>#N/A</v>
      </c>
      <c r="I227" s="7" t="e">
        <f>VLOOKUP(A227,'1201-29周均耗用'!$A$1:$C$602,3,FALSE)</f>
        <v>#N/A</v>
      </c>
    </row>
    <row r="228" spans="1:9">
      <c r="A228" s="13" t="s">
        <v>461</v>
      </c>
      <c r="B228" s="14" t="s">
        <v>462</v>
      </c>
      <c r="C228" s="13">
        <v>8</v>
      </c>
      <c r="D228" s="7">
        <f>IFERROR(VLOOKUP(A228,'1227-29耗量'!$A$1:$C$602,3,FALSE),0)</f>
        <v>0</v>
      </c>
      <c r="E228" s="7">
        <f t="shared" si="6"/>
        <v>8</v>
      </c>
      <c r="F228" s="7" t="str">
        <f t="shared" si="7"/>
        <v>錯誤</v>
      </c>
      <c r="G228" s="7">
        <f>VLOOKUP(A228,Sheet5!$A$2:$D$415,4,FALSE)</f>
        <v>4</v>
      </c>
      <c r="H228" s="7">
        <f>VLOOKUP(A228,Sheet5!$A$2:$D$415,3,FALSE)</f>
        <v>4</v>
      </c>
      <c r="I228" s="7">
        <f>VLOOKUP(A228,'1201-29周均耗用'!$A$1:$C$602,3,FALSE)</f>
        <v>0.8</v>
      </c>
    </row>
    <row r="229" spans="1:9">
      <c r="A229" s="13" t="s">
        <v>463</v>
      </c>
      <c r="B229" s="14" t="s">
        <v>464</v>
      </c>
      <c r="C229" s="13">
        <v>184</v>
      </c>
      <c r="D229" s="7">
        <f>VLOOKUP(A229,'1227-29耗量'!$A$1:$C$602,3,FALSE)</f>
        <v>6</v>
      </c>
      <c r="E229" s="7">
        <f t="shared" si="6"/>
        <v>178</v>
      </c>
      <c r="F229" s="7" t="str">
        <f t="shared" si="7"/>
        <v>錯誤</v>
      </c>
      <c r="G229" s="7">
        <f>VLOOKUP(A229,Sheet5!$A$2:$D$415,4,FALSE)</f>
        <v>106</v>
      </c>
      <c r="H229" s="7">
        <f>VLOOKUP(A229,Sheet5!$A$2:$D$415,3,FALSE)</f>
        <v>288</v>
      </c>
      <c r="I229" s="7">
        <f>VLOOKUP(A229,'1201-29周均耗用'!$A$1:$C$602,3,FALSE)</f>
        <v>87</v>
      </c>
    </row>
    <row r="230" spans="1:9">
      <c r="A230" s="13" t="s">
        <v>465</v>
      </c>
      <c r="B230" s="14" t="s">
        <v>466</v>
      </c>
      <c r="C230" s="13">
        <v>950</v>
      </c>
      <c r="D230" s="7">
        <f>VLOOKUP(A230,'1227-29耗量'!$A$1:$C$602,3,FALSE)</f>
        <v>92</v>
      </c>
      <c r="E230" s="7">
        <f t="shared" si="6"/>
        <v>858</v>
      </c>
      <c r="F230" s="7" t="str">
        <f t="shared" si="7"/>
        <v>錯誤</v>
      </c>
      <c r="G230" s="7">
        <f>VLOOKUP(A230,Sheet5!$A$2:$D$415,4,FALSE)</f>
        <v>732</v>
      </c>
      <c r="H230" s="7">
        <f>VLOOKUP(A230,Sheet5!$A$2:$D$415,3,FALSE)</f>
        <v>1500</v>
      </c>
      <c r="I230" s="7">
        <f>VLOOKUP(A230,'1201-29周均耗用'!$A$1:$C$602,3,FALSE)</f>
        <v>373</v>
      </c>
    </row>
    <row r="231" spans="1:9">
      <c r="A231" s="13" t="s">
        <v>467</v>
      </c>
      <c r="B231" s="14" t="s">
        <v>468</v>
      </c>
      <c r="C231" s="13">
        <v>0</v>
      </c>
      <c r="D231" s="7">
        <f>IFERROR(VLOOKUP(A231,'1227-29耗量'!$A$1:$C$602,3,FALSE),0)</f>
        <v>0</v>
      </c>
      <c r="E231" s="7">
        <f t="shared" si="6"/>
        <v>0</v>
      </c>
      <c r="F231" s="7" t="str">
        <f t="shared" si="7"/>
        <v>無資料</v>
      </c>
      <c r="G231" s="7" t="e">
        <f>VLOOKUP(A231,Sheet5!$A$2:$D$415,4,FALSE)</f>
        <v>#N/A</v>
      </c>
      <c r="H231" s="7" t="e">
        <f>VLOOKUP(A231,Sheet5!$A$2:$D$415,3,FALSE)</f>
        <v>#N/A</v>
      </c>
      <c r="I231" s="7" t="e">
        <f>VLOOKUP(A231,'1201-29周均耗用'!$A$1:$C$602,3,FALSE)</f>
        <v>#N/A</v>
      </c>
    </row>
    <row r="232" spans="1:9">
      <c r="A232" s="13" t="s">
        <v>469</v>
      </c>
      <c r="B232" s="14" t="s">
        <v>470</v>
      </c>
      <c r="C232" s="13">
        <v>0</v>
      </c>
      <c r="D232" s="7">
        <f>IFERROR(VLOOKUP(A232,'1227-29耗量'!$A$1:$C$602,3,FALSE),0)</f>
        <v>0</v>
      </c>
      <c r="E232" s="7">
        <f t="shared" si="6"/>
        <v>0</v>
      </c>
      <c r="F232" s="7" t="str">
        <f t="shared" si="7"/>
        <v>無資料</v>
      </c>
      <c r="G232" s="7" t="e">
        <f>VLOOKUP(A232,Sheet5!$A$2:$D$415,4,FALSE)</f>
        <v>#N/A</v>
      </c>
      <c r="H232" s="7" t="e">
        <f>VLOOKUP(A232,Sheet5!$A$2:$D$415,3,FALSE)</f>
        <v>#N/A</v>
      </c>
      <c r="I232" s="7" t="e">
        <f>VLOOKUP(A232,'1201-29周均耗用'!$A$1:$C$602,3,FALSE)</f>
        <v>#N/A</v>
      </c>
    </row>
    <row r="233" spans="1:9">
      <c r="A233" s="13" t="s">
        <v>471</v>
      </c>
      <c r="B233" s="14" t="s">
        <v>472</v>
      </c>
      <c r="C233" s="13">
        <v>483</v>
      </c>
      <c r="D233" s="7">
        <f>VLOOKUP(A233,'1227-29耗量'!$A$1:$C$602,3,FALSE)</f>
        <v>10</v>
      </c>
      <c r="E233" s="7">
        <f t="shared" si="6"/>
        <v>473</v>
      </c>
      <c r="F233" s="7" t="str">
        <f t="shared" si="7"/>
        <v>錯誤</v>
      </c>
      <c r="G233" s="7">
        <f>VLOOKUP(A233,Sheet5!$A$2:$D$415,4,FALSE)</f>
        <v>241</v>
      </c>
      <c r="H233" s="7">
        <f>VLOOKUP(A233,Sheet5!$A$2:$D$415,3,FALSE)</f>
        <v>280</v>
      </c>
      <c r="I233" s="7">
        <f>VLOOKUP(A233,'1201-29周均耗用'!$A$1:$C$602,3,FALSE)</f>
        <v>126</v>
      </c>
    </row>
    <row r="234" spans="1:9">
      <c r="A234" s="13" t="s">
        <v>473</v>
      </c>
      <c r="B234" s="14" t="s">
        <v>474</v>
      </c>
      <c r="C234" s="13">
        <v>134</v>
      </c>
      <c r="D234" s="7">
        <f>VLOOKUP(A234,'1227-29耗量'!$A$1:$C$602,3,FALSE)</f>
        <v>4</v>
      </c>
      <c r="E234" s="7">
        <f t="shared" si="6"/>
        <v>130</v>
      </c>
      <c r="F234" s="7" t="str">
        <f t="shared" si="7"/>
        <v>錯誤</v>
      </c>
      <c r="G234" s="7">
        <f>VLOOKUP(A234,Sheet5!$A$2:$D$415,4,FALSE)</f>
        <v>33</v>
      </c>
      <c r="H234" s="7">
        <f>VLOOKUP(A234,Sheet5!$A$2:$D$415,3,FALSE)</f>
        <v>144</v>
      </c>
      <c r="I234" s="7" t="e">
        <f>VLOOKUP(A234,'1201-29周均耗用'!$A$1:$C$602,3,FALSE)</f>
        <v>#N/A</v>
      </c>
    </row>
    <row r="235" spans="1:9">
      <c r="A235" s="13" t="s">
        <v>475</v>
      </c>
      <c r="B235" s="14" t="s">
        <v>476</v>
      </c>
      <c r="C235" s="13">
        <v>16</v>
      </c>
      <c r="D235" s="7">
        <f>VLOOKUP(A235,'1227-29耗量'!$A$1:$C$602,3,FALSE)</f>
        <v>1</v>
      </c>
      <c r="E235" s="7">
        <f t="shared" si="6"/>
        <v>15</v>
      </c>
      <c r="F235" s="7" t="str">
        <f t="shared" si="7"/>
        <v>錯誤</v>
      </c>
      <c r="G235" s="7">
        <f>VLOOKUP(A235,Sheet5!$A$2:$D$415,4,FALSE)</f>
        <v>16</v>
      </c>
      <c r="H235" s="7">
        <f>VLOOKUP(A235,Sheet5!$A$2:$D$415,3,FALSE)</f>
        <v>60</v>
      </c>
      <c r="I235" s="7">
        <f>VLOOKUP(A235,'1201-29周均耗用'!$A$1:$C$602,3,FALSE)</f>
        <v>20</v>
      </c>
    </row>
    <row r="236" spans="1:9">
      <c r="A236" s="13" t="s">
        <v>477</v>
      </c>
      <c r="B236" s="14" t="s">
        <v>478</v>
      </c>
      <c r="C236" s="13">
        <v>167</v>
      </c>
      <c r="D236" s="7">
        <f>IFERROR(VLOOKUP(A236,'1227-29耗量'!$A$1:$C$602,3,FALSE),0)</f>
        <v>6</v>
      </c>
      <c r="E236" s="7">
        <f t="shared" si="6"/>
        <v>161</v>
      </c>
      <c r="F236" s="7" t="str">
        <f t="shared" si="7"/>
        <v>無資料</v>
      </c>
      <c r="G236" s="7" t="e">
        <f>VLOOKUP(A236,Sheet5!$A$2:$D$415,4,FALSE)</f>
        <v>#N/A</v>
      </c>
      <c r="H236" s="7" t="e">
        <f>VLOOKUP(A236,Sheet5!$A$2:$D$415,3,FALSE)</f>
        <v>#N/A</v>
      </c>
      <c r="I236" s="7">
        <f>VLOOKUP(A236,'1201-29周均耗用'!$A$1:$C$602,3,FALSE)</f>
        <v>56</v>
      </c>
    </row>
    <row r="237" spans="1:9">
      <c r="A237" s="13" t="s">
        <v>479</v>
      </c>
      <c r="B237" s="14" t="s">
        <v>480</v>
      </c>
      <c r="C237" s="13">
        <v>438</v>
      </c>
      <c r="D237" s="7">
        <f>VLOOKUP(A237,'1227-29耗量'!$A$1:$C$602,3,FALSE)</f>
        <v>4</v>
      </c>
      <c r="E237" s="7">
        <f t="shared" si="6"/>
        <v>434</v>
      </c>
      <c r="F237" s="7" t="str">
        <f t="shared" si="7"/>
        <v>錯誤</v>
      </c>
      <c r="G237" s="7">
        <f>VLOOKUP(A237,Sheet5!$A$2:$D$415,4,FALSE)</f>
        <v>293</v>
      </c>
      <c r="H237" s="7">
        <f>VLOOKUP(A237,Sheet5!$A$2:$D$415,3,FALSE)</f>
        <v>400</v>
      </c>
      <c r="I237" s="7">
        <f>VLOOKUP(A237,'1201-29周均耗用'!$A$1:$C$602,3,FALSE)</f>
        <v>117.2</v>
      </c>
    </row>
    <row r="238" spans="1:9">
      <c r="A238" s="13" t="s">
        <v>481</v>
      </c>
      <c r="B238" s="14" t="s">
        <v>482</v>
      </c>
      <c r="C238" s="13">
        <v>0</v>
      </c>
      <c r="D238" s="7">
        <f>IFERROR(VLOOKUP(A238,'1227-29耗量'!$A$1:$C$602,3,FALSE),0)</f>
        <v>0</v>
      </c>
      <c r="E238" s="7">
        <f t="shared" si="6"/>
        <v>0</v>
      </c>
      <c r="F238" s="7" t="str">
        <f t="shared" si="7"/>
        <v>無資料</v>
      </c>
      <c r="G238" s="7" t="e">
        <f>VLOOKUP(A238,Sheet5!$A$2:$D$415,4,FALSE)</f>
        <v>#N/A</v>
      </c>
      <c r="H238" s="7" t="e">
        <f>VLOOKUP(A238,Sheet5!$A$2:$D$415,3,FALSE)</f>
        <v>#N/A</v>
      </c>
      <c r="I238" s="7" t="e">
        <f>VLOOKUP(A238,'1201-29周均耗用'!$A$1:$C$602,3,FALSE)</f>
        <v>#N/A</v>
      </c>
    </row>
    <row r="239" spans="1:9">
      <c r="A239" s="13" t="s">
        <v>483</v>
      </c>
      <c r="B239" s="14" t="s">
        <v>484</v>
      </c>
      <c r="C239" s="13">
        <v>17</v>
      </c>
      <c r="D239" s="7">
        <f>IFERROR(VLOOKUP(A239,'1227-29耗量'!$A$1:$C$602,3,FALSE),0)</f>
        <v>0</v>
      </c>
      <c r="E239" s="7">
        <f t="shared" si="6"/>
        <v>17</v>
      </c>
      <c r="F239" s="7" t="str">
        <f t="shared" si="7"/>
        <v>錯誤</v>
      </c>
      <c r="G239" s="7">
        <f>VLOOKUP(A239,Sheet5!$A$2:$D$415,4,FALSE)</f>
        <v>1</v>
      </c>
      <c r="H239" s="7">
        <f>VLOOKUP(A239,Sheet5!$A$2:$D$415,3,FALSE)</f>
        <v>12</v>
      </c>
      <c r="I239" s="7" t="e">
        <f>VLOOKUP(A239,'1201-29周均耗用'!$A$1:$C$602,3,FALSE)</f>
        <v>#N/A</v>
      </c>
    </row>
    <row r="240" spans="1:9">
      <c r="A240" s="13" t="s">
        <v>485</v>
      </c>
      <c r="B240" s="14" t="s">
        <v>486</v>
      </c>
      <c r="C240" s="13">
        <v>0</v>
      </c>
      <c r="D240" s="7">
        <f>IFERROR(VLOOKUP(A240,'1227-29耗量'!$A$1:$C$602,3,FALSE),0)</f>
        <v>0</v>
      </c>
      <c r="E240" s="7">
        <f t="shared" si="6"/>
        <v>0</v>
      </c>
      <c r="F240" s="7" t="str">
        <f t="shared" si="7"/>
        <v>無資料</v>
      </c>
      <c r="G240" s="7" t="e">
        <f>VLOOKUP(A240,Sheet5!$A$2:$D$415,4,FALSE)</f>
        <v>#N/A</v>
      </c>
      <c r="H240" s="7" t="e">
        <f>VLOOKUP(A240,Sheet5!$A$2:$D$415,3,FALSE)</f>
        <v>#N/A</v>
      </c>
      <c r="I240" s="7" t="e">
        <f>VLOOKUP(A240,'1201-29周均耗用'!$A$1:$C$602,3,FALSE)</f>
        <v>#N/A</v>
      </c>
    </row>
    <row r="241" spans="1:9">
      <c r="A241" s="13" t="s">
        <v>487</v>
      </c>
      <c r="B241" s="14" t="s">
        <v>488</v>
      </c>
      <c r="C241" s="13">
        <v>739</v>
      </c>
      <c r="D241" s="7">
        <f>IFERROR(VLOOKUP(A241,'1227-29耗量'!$A$1:$C$602,3,FALSE),0)</f>
        <v>6</v>
      </c>
      <c r="E241" s="7">
        <f t="shared" si="6"/>
        <v>733</v>
      </c>
      <c r="F241" s="7" t="str">
        <f t="shared" si="7"/>
        <v>無資料</v>
      </c>
      <c r="G241" s="7" t="e">
        <f>VLOOKUP(A241,Sheet5!$A$2:$D$415,4,FALSE)</f>
        <v>#N/A</v>
      </c>
      <c r="H241" s="7" t="e">
        <f>VLOOKUP(A241,Sheet5!$A$2:$D$415,3,FALSE)</f>
        <v>#N/A</v>
      </c>
      <c r="I241" s="7">
        <f>VLOOKUP(A241,'1201-29周均耗用'!$A$1:$C$602,3,FALSE)</f>
        <v>99.2</v>
      </c>
    </row>
    <row r="242" spans="1:9">
      <c r="A242" s="13" t="s">
        <v>489</v>
      </c>
      <c r="B242" s="14" t="s">
        <v>490</v>
      </c>
      <c r="C242" s="13">
        <v>3</v>
      </c>
      <c r="D242" s="7">
        <f>IFERROR(VLOOKUP(A242,'1227-29耗量'!$A$1:$C$602,3,FALSE),0)</f>
        <v>0</v>
      </c>
      <c r="E242" s="7">
        <f t="shared" si="6"/>
        <v>3</v>
      </c>
      <c r="F242" s="7" t="str">
        <f t="shared" si="7"/>
        <v>無資料</v>
      </c>
      <c r="G242" s="7" t="e">
        <f>VLOOKUP(A242,Sheet5!$A$2:$D$415,4,FALSE)</f>
        <v>#N/A</v>
      </c>
      <c r="H242" s="7" t="e">
        <f>VLOOKUP(A242,Sheet5!$A$2:$D$415,3,FALSE)</f>
        <v>#N/A</v>
      </c>
      <c r="I242" s="7" t="e">
        <f>VLOOKUP(A242,'1201-29周均耗用'!$A$1:$C$602,3,FALSE)</f>
        <v>#N/A</v>
      </c>
    </row>
    <row r="243" spans="1:9">
      <c r="A243" s="13" t="s">
        <v>491</v>
      </c>
      <c r="B243" s="14" t="s">
        <v>492</v>
      </c>
      <c r="C243" s="13">
        <v>0</v>
      </c>
      <c r="D243" s="7">
        <f>IFERROR(VLOOKUP(A243,'1227-29耗量'!$A$1:$C$602,3,FALSE),0)</f>
        <v>0</v>
      </c>
      <c r="E243" s="7">
        <f t="shared" si="6"/>
        <v>0</v>
      </c>
      <c r="F243" s="7" t="str">
        <f t="shared" si="7"/>
        <v>無資料</v>
      </c>
      <c r="G243" s="7" t="e">
        <f>VLOOKUP(A243,Sheet5!$A$2:$D$415,4,FALSE)</f>
        <v>#N/A</v>
      </c>
      <c r="H243" s="7" t="e">
        <f>VLOOKUP(A243,Sheet5!$A$2:$D$415,3,FALSE)</f>
        <v>#N/A</v>
      </c>
      <c r="I243" s="7">
        <f>VLOOKUP(A243,'1201-29周均耗用'!$A$1:$C$602,3,FALSE)</f>
        <v>1.2</v>
      </c>
    </row>
    <row r="244" spans="1:9">
      <c r="A244" s="13" t="s">
        <v>493</v>
      </c>
      <c r="B244" s="14" t="s">
        <v>494</v>
      </c>
      <c r="C244" s="13">
        <v>0</v>
      </c>
      <c r="D244" s="7">
        <f>IFERROR(VLOOKUP(A244,'1227-29耗量'!$A$1:$C$602,3,FALSE),0)</f>
        <v>0</v>
      </c>
      <c r="E244" s="7">
        <f t="shared" si="6"/>
        <v>0</v>
      </c>
      <c r="F244" s="7" t="str">
        <f t="shared" si="7"/>
        <v>無資料</v>
      </c>
      <c r="G244" s="7" t="e">
        <f>VLOOKUP(A244,Sheet5!$A$2:$D$415,4,FALSE)</f>
        <v>#N/A</v>
      </c>
      <c r="H244" s="7" t="e">
        <f>VLOOKUP(A244,Sheet5!$A$2:$D$415,3,FALSE)</f>
        <v>#N/A</v>
      </c>
      <c r="I244" s="7" t="e">
        <f>VLOOKUP(A244,'1201-29周均耗用'!$A$1:$C$602,3,FALSE)</f>
        <v>#N/A</v>
      </c>
    </row>
    <row r="245" spans="1:9">
      <c r="A245" s="13" t="s">
        <v>495</v>
      </c>
      <c r="B245" s="14" t="s">
        <v>496</v>
      </c>
      <c r="C245" s="13">
        <v>127</v>
      </c>
      <c r="D245" s="7">
        <f>IFERROR(VLOOKUP(A245,'1227-29耗量'!$A$1:$C$602,3,FALSE),0)</f>
        <v>0</v>
      </c>
      <c r="E245" s="7">
        <f t="shared" si="6"/>
        <v>127</v>
      </c>
      <c r="F245" s="7" t="str">
        <f t="shared" si="7"/>
        <v>無資料</v>
      </c>
      <c r="G245" s="7" t="e">
        <f>VLOOKUP(A245,Sheet5!$A$2:$D$415,4,FALSE)</f>
        <v>#N/A</v>
      </c>
      <c r="H245" s="7" t="e">
        <f>VLOOKUP(A245,Sheet5!$A$2:$D$415,3,FALSE)</f>
        <v>#N/A</v>
      </c>
      <c r="I245" s="7" t="e">
        <f>VLOOKUP(A245,'1201-29周均耗用'!$A$1:$C$602,3,FALSE)</f>
        <v>#N/A</v>
      </c>
    </row>
    <row r="246" spans="1:9">
      <c r="A246" s="13" t="s">
        <v>497</v>
      </c>
      <c r="B246" s="14" t="s">
        <v>498</v>
      </c>
      <c r="C246" s="13">
        <v>549</v>
      </c>
      <c r="D246" s="7">
        <f>IFERROR(VLOOKUP(A246,'1227-29耗量'!$A$1:$C$602,3,FALSE),0)</f>
        <v>2</v>
      </c>
      <c r="E246" s="7">
        <f t="shared" si="6"/>
        <v>547</v>
      </c>
      <c r="F246" s="7" t="str">
        <f t="shared" si="7"/>
        <v>無資料</v>
      </c>
      <c r="G246" s="7" t="e">
        <f>VLOOKUP(A246,Sheet5!$A$2:$D$415,4,FALSE)</f>
        <v>#N/A</v>
      </c>
      <c r="H246" s="7" t="e">
        <f>VLOOKUP(A246,Sheet5!$A$2:$D$415,3,FALSE)</f>
        <v>#N/A</v>
      </c>
      <c r="I246" s="7">
        <f>VLOOKUP(A246,'1201-29周均耗用'!$A$1:$C$602,3,FALSE)</f>
        <v>82.5</v>
      </c>
    </row>
    <row r="247" spans="1:9">
      <c r="A247" s="13" t="s">
        <v>499</v>
      </c>
      <c r="B247" s="14" t="s">
        <v>500</v>
      </c>
      <c r="C247" s="13">
        <v>739</v>
      </c>
      <c r="D247" s="7">
        <f>VLOOKUP(A247,'1227-29耗量'!$A$1:$C$602,3,FALSE)</f>
        <v>78</v>
      </c>
      <c r="E247" s="7">
        <f t="shared" si="6"/>
        <v>661</v>
      </c>
      <c r="F247" s="7" t="str">
        <f t="shared" si="7"/>
        <v>錯誤</v>
      </c>
      <c r="G247" s="7">
        <f>VLOOKUP(A247,Sheet5!$A$2:$D$415,4,FALSE)</f>
        <v>58</v>
      </c>
      <c r="H247" s="7">
        <f>VLOOKUP(A247,Sheet5!$A$2:$D$415,3,FALSE)</f>
        <v>1000</v>
      </c>
      <c r="I247" s="7">
        <f>VLOOKUP(A247,'1201-29周均耗用'!$A$1:$C$602,3,FALSE)</f>
        <v>373.5</v>
      </c>
    </row>
    <row r="248" spans="1:9">
      <c r="A248" s="13" t="s">
        <v>501</v>
      </c>
      <c r="B248" s="14" t="s">
        <v>502</v>
      </c>
      <c r="C248" s="13">
        <v>921</v>
      </c>
      <c r="D248" s="7">
        <f>IFERROR(VLOOKUP(A248,'1227-29耗量'!$A$1:$C$602,3,FALSE),0)</f>
        <v>62</v>
      </c>
      <c r="E248" s="7">
        <f t="shared" si="6"/>
        <v>859</v>
      </c>
      <c r="F248" s="7" t="str">
        <f t="shared" si="7"/>
        <v>無資料</v>
      </c>
      <c r="G248" s="7" t="e">
        <f>VLOOKUP(A248,Sheet5!$A$2:$D$415,4,FALSE)</f>
        <v>#N/A</v>
      </c>
      <c r="H248" s="7" t="e">
        <f>VLOOKUP(A248,Sheet5!$A$2:$D$415,3,FALSE)</f>
        <v>#N/A</v>
      </c>
      <c r="I248" s="7">
        <f>VLOOKUP(A248,'1201-29周均耗用'!$A$1:$C$602,3,FALSE)</f>
        <v>234.5</v>
      </c>
    </row>
    <row r="249" spans="1:9">
      <c r="A249" s="13" t="s">
        <v>503</v>
      </c>
      <c r="B249" s="14" t="s">
        <v>504</v>
      </c>
      <c r="C249" s="13">
        <v>157</v>
      </c>
      <c r="D249" s="7">
        <f>VLOOKUP(A249,'1227-29耗量'!$A$1:$C$602,3,FALSE)</f>
        <v>9</v>
      </c>
      <c r="E249" s="7">
        <f t="shared" si="6"/>
        <v>148</v>
      </c>
      <c r="F249" s="7" t="str">
        <f t="shared" si="7"/>
        <v>錯誤</v>
      </c>
      <c r="G249" s="7">
        <f>VLOOKUP(A249,Sheet5!$A$2:$D$415,4,FALSE)</f>
        <v>86</v>
      </c>
      <c r="H249" s="7">
        <f>VLOOKUP(A249,Sheet5!$A$2:$D$415,3,FALSE)</f>
        <v>200</v>
      </c>
      <c r="I249" s="7">
        <f>VLOOKUP(A249,'1201-29周均耗用'!$A$1:$C$602,3,FALSE)</f>
        <v>70</v>
      </c>
    </row>
    <row r="250" spans="1:9">
      <c r="A250" s="13" t="s">
        <v>505</v>
      </c>
      <c r="B250" s="14" t="s">
        <v>506</v>
      </c>
      <c r="C250" s="13">
        <v>8</v>
      </c>
      <c r="D250" s="7">
        <f>IFERROR(VLOOKUP(A250,'1227-29耗量'!$A$1:$C$602,3,FALSE),0)</f>
        <v>0</v>
      </c>
      <c r="E250" s="7">
        <f t="shared" si="6"/>
        <v>8</v>
      </c>
      <c r="F250" s="7" t="str">
        <f t="shared" si="7"/>
        <v>無資料</v>
      </c>
      <c r="G250" s="7" t="e">
        <f>VLOOKUP(A250,Sheet5!$A$2:$D$415,4,FALSE)</f>
        <v>#N/A</v>
      </c>
      <c r="H250" s="7" t="e">
        <f>VLOOKUP(A250,Sheet5!$A$2:$D$415,3,FALSE)</f>
        <v>#N/A</v>
      </c>
      <c r="I250" s="7" t="e">
        <f>VLOOKUP(A250,'1201-29周均耗用'!$A$1:$C$602,3,FALSE)</f>
        <v>#N/A</v>
      </c>
    </row>
    <row r="251" spans="1:9">
      <c r="A251" s="13" t="s">
        <v>507</v>
      </c>
      <c r="B251" s="14" t="s">
        <v>508</v>
      </c>
      <c r="C251" s="13">
        <v>2913</v>
      </c>
      <c r="D251" s="7">
        <f>VLOOKUP(A251,'1227-29耗量'!$A$1:$C$602,3,FALSE)</f>
        <v>364</v>
      </c>
      <c r="E251" s="7">
        <f t="shared" si="6"/>
        <v>2549</v>
      </c>
      <c r="F251" s="7" t="str">
        <f t="shared" si="7"/>
        <v>錯誤</v>
      </c>
      <c r="G251" s="7">
        <f>VLOOKUP(A251,Sheet5!$A$2:$D$415,4,FALSE)</f>
        <v>1819</v>
      </c>
      <c r="H251" s="7">
        <f>VLOOKUP(A251,Sheet5!$A$2:$D$415,3,FALSE)</f>
        <v>8640</v>
      </c>
      <c r="I251" s="7" t="e">
        <f>VLOOKUP(A251,'1201-29周均耗用'!$A$1:$C$602,3,FALSE)</f>
        <v>#N/A</v>
      </c>
    </row>
    <row r="252" spans="1:9">
      <c r="A252" s="13" t="s">
        <v>509</v>
      </c>
      <c r="B252" s="14" t="s">
        <v>510</v>
      </c>
      <c r="C252" s="13">
        <v>11</v>
      </c>
      <c r="D252" s="7">
        <f>IFERROR(VLOOKUP(A252,'1227-29耗量'!$A$1:$C$602,3,FALSE),0)</f>
        <v>0</v>
      </c>
      <c r="E252" s="7">
        <f t="shared" si="6"/>
        <v>11</v>
      </c>
      <c r="F252" s="7" t="str">
        <f t="shared" si="7"/>
        <v>無資料</v>
      </c>
      <c r="G252" s="7" t="e">
        <f>VLOOKUP(A252,Sheet5!$A$2:$D$415,4,FALSE)</f>
        <v>#N/A</v>
      </c>
      <c r="H252" s="7" t="e">
        <f>VLOOKUP(A252,Sheet5!$A$2:$D$415,3,FALSE)</f>
        <v>#N/A</v>
      </c>
      <c r="I252" s="7" t="e">
        <f>VLOOKUP(A252,'1201-29周均耗用'!$A$1:$C$602,3,FALSE)</f>
        <v>#N/A</v>
      </c>
    </row>
    <row r="253" spans="1:9">
      <c r="A253" s="13" t="s">
        <v>511</v>
      </c>
      <c r="B253" s="14" t="s">
        <v>512</v>
      </c>
      <c r="C253" s="13">
        <v>2657</v>
      </c>
      <c r="D253" s="7">
        <f>VLOOKUP(A253,'1227-29耗量'!$A$1:$C$602,3,FALSE)</f>
        <v>327</v>
      </c>
      <c r="E253" s="7">
        <f t="shared" si="6"/>
        <v>2330</v>
      </c>
      <c r="F253" s="7" t="str">
        <f t="shared" si="7"/>
        <v>錯誤</v>
      </c>
      <c r="G253" s="7">
        <f>VLOOKUP(A253,Sheet5!$A$2:$D$415,4,FALSE)</f>
        <v>1406</v>
      </c>
      <c r="H253" s="7">
        <f>VLOOKUP(A253,Sheet5!$A$2:$D$415,3,FALSE)</f>
        <v>4000</v>
      </c>
      <c r="I253" s="7">
        <f>VLOOKUP(A253,'1201-29周均耗用'!$A$1:$C$602,3,FALSE)</f>
        <v>1202</v>
      </c>
    </row>
    <row r="254" spans="1:9">
      <c r="A254" s="13" t="s">
        <v>513</v>
      </c>
      <c r="B254" s="14" t="s">
        <v>514</v>
      </c>
      <c r="C254" s="13">
        <v>1611</v>
      </c>
      <c r="D254" s="7">
        <f>VLOOKUP(A254,'1227-29耗量'!$A$1:$C$602,3,FALSE)</f>
        <v>123</v>
      </c>
      <c r="E254" s="7">
        <f t="shared" si="6"/>
        <v>1488</v>
      </c>
      <c r="F254" s="7" t="str">
        <f t="shared" si="7"/>
        <v>錯誤</v>
      </c>
      <c r="G254" s="7">
        <f>VLOOKUP(A254,Sheet5!$A$2:$D$415,4,FALSE)</f>
        <v>982</v>
      </c>
      <c r="H254" s="7">
        <f>VLOOKUP(A254,Sheet5!$A$2:$D$415,3,FALSE)</f>
        <v>1960</v>
      </c>
      <c r="I254" s="7">
        <f>VLOOKUP(A254,'1201-29周均耗用'!$A$1:$C$602,3,FALSE)</f>
        <v>582.8</v>
      </c>
    </row>
    <row r="255" spans="1:9">
      <c r="A255" s="13" t="s">
        <v>515</v>
      </c>
      <c r="B255" s="14" t="s">
        <v>516</v>
      </c>
      <c r="C255" s="13">
        <v>1261</v>
      </c>
      <c r="D255" s="7">
        <f>VLOOKUP(A255,'1227-29耗量'!$A$1:$C$602,3,FALSE)</f>
        <v>62</v>
      </c>
      <c r="E255" s="7">
        <f t="shared" si="6"/>
        <v>1199</v>
      </c>
      <c r="F255" s="7" t="str">
        <f t="shared" si="7"/>
        <v>錯誤</v>
      </c>
      <c r="G255" s="7">
        <f>VLOOKUP(A255,Sheet5!$A$2:$D$415,4,FALSE)</f>
        <v>735</v>
      </c>
      <c r="H255" s="7">
        <f>VLOOKUP(A255,Sheet5!$A$2:$D$415,3,FALSE)</f>
        <v>1200</v>
      </c>
      <c r="I255" s="7">
        <f>VLOOKUP(A255,'1201-29周均耗用'!$A$1:$C$602,3,FALSE)</f>
        <v>300</v>
      </c>
    </row>
    <row r="256" spans="1:9">
      <c r="A256" s="13" t="s">
        <v>517</v>
      </c>
      <c r="B256" s="14" t="s">
        <v>518</v>
      </c>
      <c r="C256" s="13">
        <v>82</v>
      </c>
      <c r="D256" s="7">
        <f>IFERROR(VLOOKUP(A256,'1227-29耗量'!$A$1:$C$602,3,FALSE),0)</f>
        <v>0</v>
      </c>
      <c r="E256" s="7">
        <f t="shared" si="6"/>
        <v>82</v>
      </c>
      <c r="F256" s="7" t="str">
        <f t="shared" si="7"/>
        <v>無資料</v>
      </c>
      <c r="G256" s="7" t="e">
        <f>VLOOKUP(A256,Sheet5!$A$2:$D$415,4,FALSE)</f>
        <v>#N/A</v>
      </c>
      <c r="H256" s="7" t="e">
        <f>VLOOKUP(A256,Sheet5!$A$2:$D$415,3,FALSE)</f>
        <v>#N/A</v>
      </c>
      <c r="I256" s="7" t="e">
        <f>VLOOKUP(A256,'1201-29周均耗用'!$A$1:$C$602,3,FALSE)</f>
        <v>#N/A</v>
      </c>
    </row>
    <row r="257" spans="1:9">
      <c r="A257" s="13" t="s">
        <v>519</v>
      </c>
      <c r="B257" s="14" t="s">
        <v>520</v>
      </c>
      <c r="C257" s="13">
        <v>1777</v>
      </c>
      <c r="D257" s="7">
        <f>VLOOKUP(A257,'1227-29耗量'!$A$1:$C$602,3,FALSE)</f>
        <v>320</v>
      </c>
      <c r="E257" s="7">
        <f t="shared" si="6"/>
        <v>1457</v>
      </c>
      <c r="F257" s="7" t="str">
        <f t="shared" si="7"/>
        <v>錯誤</v>
      </c>
      <c r="G257" s="7">
        <f>VLOOKUP(A257,Sheet5!$A$2:$D$415,4,FALSE)</f>
        <v>643</v>
      </c>
      <c r="H257" s="7">
        <f>VLOOKUP(A257,Sheet5!$A$2:$D$415,3,FALSE)</f>
        <v>3780</v>
      </c>
      <c r="I257" s="7">
        <f>VLOOKUP(A257,'1201-29周均耗用'!$A$1:$C$602,3,FALSE)</f>
        <v>1341.2</v>
      </c>
    </row>
    <row r="258" spans="1:9">
      <c r="A258" s="13" t="s">
        <v>521</v>
      </c>
      <c r="B258" s="14" t="s">
        <v>522</v>
      </c>
      <c r="C258" s="13">
        <v>148</v>
      </c>
      <c r="D258" s="7">
        <f>IFERROR(VLOOKUP(A258,'1227-29耗量'!$A$1:$C$602,3,FALSE),0)</f>
        <v>0</v>
      </c>
      <c r="E258" s="7">
        <f t="shared" si="6"/>
        <v>148</v>
      </c>
      <c r="F258" s="7" t="str">
        <f t="shared" si="7"/>
        <v>無資料</v>
      </c>
      <c r="G258" s="7" t="e">
        <f>VLOOKUP(A258,Sheet5!$A$2:$D$415,4,FALSE)</f>
        <v>#N/A</v>
      </c>
      <c r="H258" s="7" t="e">
        <f>VLOOKUP(A258,Sheet5!$A$2:$D$415,3,FALSE)</f>
        <v>#N/A</v>
      </c>
      <c r="I258" s="7">
        <f>VLOOKUP(A258,'1201-29周均耗用'!$A$1:$C$602,3,FALSE)</f>
        <v>3</v>
      </c>
    </row>
    <row r="259" spans="1:9">
      <c r="A259" s="13" t="s">
        <v>523</v>
      </c>
      <c r="B259" s="14" t="s">
        <v>524</v>
      </c>
      <c r="C259" s="13">
        <v>252</v>
      </c>
      <c r="D259" s="7">
        <f>VLOOKUP(A259,'1227-29耗量'!$A$1:$C$602,3,FALSE)</f>
        <v>47</v>
      </c>
      <c r="E259" s="7">
        <f t="shared" ref="E259:E322" si="8">C259-D259</f>
        <v>205</v>
      </c>
      <c r="F259" s="7" t="str">
        <f t="shared" ref="F259:F322" si="9">IFERROR(IF(E259=G259,"OK","錯誤"),"無資料")</f>
        <v>錯誤</v>
      </c>
      <c r="G259" s="7">
        <f>VLOOKUP(A259,Sheet5!$A$2:$D$415,4,FALSE)</f>
        <v>281</v>
      </c>
      <c r="H259" s="7">
        <f>VLOOKUP(A259,Sheet5!$A$2:$D$415,3,FALSE)</f>
        <v>600</v>
      </c>
      <c r="I259" s="7">
        <f>VLOOKUP(A259,'1201-29周均耗用'!$A$1:$C$602,3,FALSE)</f>
        <v>177.8</v>
      </c>
    </row>
    <row r="260" spans="1:9">
      <c r="A260" s="13" t="s">
        <v>525</v>
      </c>
      <c r="B260" s="14" t="s">
        <v>526</v>
      </c>
      <c r="C260" s="13">
        <v>130</v>
      </c>
      <c r="D260" s="7">
        <f>IFERROR(VLOOKUP(A260,'1227-29耗量'!$A$1:$C$602,3,FALSE),0)</f>
        <v>0</v>
      </c>
      <c r="E260" s="7">
        <f t="shared" si="8"/>
        <v>130</v>
      </c>
      <c r="F260" s="7" t="str">
        <f t="shared" si="9"/>
        <v>無資料</v>
      </c>
      <c r="G260" s="7" t="e">
        <f>VLOOKUP(A260,Sheet5!$A$2:$D$415,4,FALSE)</f>
        <v>#N/A</v>
      </c>
      <c r="H260" s="7" t="e">
        <f>VLOOKUP(A260,Sheet5!$A$2:$D$415,3,FALSE)</f>
        <v>#N/A</v>
      </c>
      <c r="I260" s="7">
        <f>VLOOKUP(A260,'1201-29周均耗用'!$A$1:$C$602,3,FALSE)</f>
        <v>2</v>
      </c>
    </row>
    <row r="261" spans="1:9">
      <c r="A261" s="13" t="s">
        <v>527</v>
      </c>
      <c r="B261" s="14" t="s">
        <v>528</v>
      </c>
      <c r="C261" s="13">
        <v>337</v>
      </c>
      <c r="D261" s="7">
        <f>VLOOKUP(A261,'1227-29耗量'!$A$1:$C$602,3,FALSE)</f>
        <v>1</v>
      </c>
      <c r="E261" s="7">
        <f t="shared" si="8"/>
        <v>336</v>
      </c>
      <c r="F261" s="7" t="str">
        <f t="shared" si="9"/>
        <v>錯誤</v>
      </c>
      <c r="G261" s="7">
        <f>VLOOKUP(A261,Sheet5!$A$2:$D$415,4,FALSE)</f>
        <v>299</v>
      </c>
      <c r="H261" s="7">
        <f>VLOOKUP(A261,Sheet5!$A$2:$D$415,3,FALSE)</f>
        <v>200</v>
      </c>
      <c r="I261" s="7">
        <f>VLOOKUP(A261,'1201-29周均耗用'!$A$1:$C$602,3,FALSE)</f>
        <v>68.5</v>
      </c>
    </row>
    <row r="262" spans="1:9">
      <c r="A262" s="13" t="s">
        <v>529</v>
      </c>
      <c r="B262" s="14" t="s">
        <v>530</v>
      </c>
      <c r="C262" s="13">
        <v>0</v>
      </c>
      <c r="D262" s="7">
        <f>IFERROR(VLOOKUP(A262,'1227-29耗量'!$A$1:$C$602,3,FALSE),0)</f>
        <v>1</v>
      </c>
      <c r="E262" s="7">
        <f t="shared" si="8"/>
        <v>-1</v>
      </c>
      <c r="F262" s="7" t="str">
        <f t="shared" si="9"/>
        <v>無資料</v>
      </c>
      <c r="G262" s="7" t="e">
        <f>VLOOKUP(A262,Sheet5!$A$2:$D$415,4,FALSE)</f>
        <v>#N/A</v>
      </c>
      <c r="H262" s="7" t="e">
        <f>VLOOKUP(A262,Sheet5!$A$2:$D$415,3,FALSE)</f>
        <v>#N/A</v>
      </c>
      <c r="I262" s="7">
        <f>VLOOKUP(A262,'1201-29周均耗用'!$A$1:$C$602,3,FALSE)</f>
        <v>10.2</v>
      </c>
    </row>
    <row r="263" spans="1:9">
      <c r="A263" s="13" t="s">
        <v>531</v>
      </c>
      <c r="B263" s="14" t="s">
        <v>532</v>
      </c>
      <c r="C263" s="13">
        <v>0</v>
      </c>
      <c r="D263" s="7">
        <f>IFERROR(VLOOKUP(A263,'1227-29耗量'!$A$1:$C$602,3,FALSE),0)</f>
        <v>0</v>
      </c>
      <c r="E263" s="7">
        <f t="shared" si="8"/>
        <v>0</v>
      </c>
      <c r="F263" s="7" t="str">
        <f t="shared" si="9"/>
        <v>無資料</v>
      </c>
      <c r="G263" s="7" t="e">
        <f>VLOOKUP(A263,Sheet5!$A$2:$D$415,4,FALSE)</f>
        <v>#N/A</v>
      </c>
      <c r="H263" s="7" t="e">
        <f>VLOOKUP(A263,Sheet5!$A$2:$D$415,3,FALSE)</f>
        <v>#N/A</v>
      </c>
      <c r="I263" s="7" t="e">
        <f>VLOOKUP(A263,'1201-29周均耗用'!$A$1:$C$602,3,FALSE)</f>
        <v>#N/A</v>
      </c>
    </row>
    <row r="264" spans="1:9">
      <c r="A264" s="13" t="s">
        <v>533</v>
      </c>
      <c r="B264" s="14" t="s">
        <v>534</v>
      </c>
      <c r="C264" s="13">
        <v>691</v>
      </c>
      <c r="D264" s="7">
        <f>IFERROR(VLOOKUP(A264,'1227-29耗量'!$A$1:$C$602,3,FALSE),0)</f>
        <v>8</v>
      </c>
      <c r="E264" s="7">
        <f t="shared" si="8"/>
        <v>683</v>
      </c>
      <c r="F264" s="7" t="str">
        <f t="shared" si="9"/>
        <v>無資料</v>
      </c>
      <c r="G264" s="7" t="e">
        <f>VLOOKUP(A264,Sheet5!$A$2:$D$415,4,FALSE)</f>
        <v>#N/A</v>
      </c>
      <c r="H264" s="7" t="e">
        <f>VLOOKUP(A264,Sheet5!$A$2:$D$415,3,FALSE)</f>
        <v>#N/A</v>
      </c>
      <c r="I264" s="7">
        <f>VLOOKUP(A264,'1201-29周均耗用'!$A$1:$C$602,3,FALSE)</f>
        <v>48.8</v>
      </c>
    </row>
    <row r="265" spans="1:9">
      <c r="A265" s="13" t="s">
        <v>535</v>
      </c>
      <c r="B265" s="14" t="s">
        <v>536</v>
      </c>
      <c r="C265" s="13">
        <v>276</v>
      </c>
      <c r="D265" s="7">
        <f>VLOOKUP(A265,'1227-29耗量'!$A$1:$C$602,3,FALSE)</f>
        <v>7</v>
      </c>
      <c r="E265" s="7">
        <f t="shared" si="8"/>
        <v>269</v>
      </c>
      <c r="F265" s="7" t="str">
        <f t="shared" si="9"/>
        <v>錯誤</v>
      </c>
      <c r="G265" s="7">
        <f>VLOOKUP(A265,Sheet5!$A$2:$D$415,4,FALSE)</f>
        <v>354</v>
      </c>
      <c r="H265" s="7">
        <f>VLOOKUP(A265,Sheet5!$A$2:$D$415,3,FALSE)</f>
        <v>448</v>
      </c>
      <c r="I265" s="7">
        <f>VLOOKUP(A265,'1201-29周均耗用'!$A$1:$C$602,3,FALSE)</f>
        <v>117.5</v>
      </c>
    </row>
    <row r="266" spans="1:9">
      <c r="A266" s="13" t="s">
        <v>537</v>
      </c>
      <c r="B266" s="14" t="s">
        <v>538</v>
      </c>
      <c r="C266" s="13">
        <v>0</v>
      </c>
      <c r="D266" s="7">
        <f>IFERROR(VLOOKUP(A266,'1227-29耗量'!$A$1:$C$602,3,FALSE),0)</f>
        <v>0</v>
      </c>
      <c r="E266" s="7">
        <f t="shared" si="8"/>
        <v>0</v>
      </c>
      <c r="F266" s="7" t="str">
        <f t="shared" si="9"/>
        <v>無資料</v>
      </c>
      <c r="G266" s="7" t="e">
        <f>VLOOKUP(A266,Sheet5!$A$2:$D$415,4,FALSE)</f>
        <v>#N/A</v>
      </c>
      <c r="H266" s="7" t="e">
        <f>VLOOKUP(A266,Sheet5!$A$2:$D$415,3,FALSE)</f>
        <v>#N/A</v>
      </c>
      <c r="I266" s="7" t="e">
        <f>VLOOKUP(A266,'1201-29周均耗用'!$A$1:$C$602,3,FALSE)</f>
        <v>#N/A</v>
      </c>
    </row>
    <row r="267" spans="1:9">
      <c r="A267" s="13" t="s">
        <v>539</v>
      </c>
      <c r="B267" s="14" t="s">
        <v>540</v>
      </c>
      <c r="C267" s="13">
        <v>296</v>
      </c>
      <c r="D267" s="7">
        <f>IFERROR(VLOOKUP(A267,'1227-29耗量'!$A$1:$C$602,3,FALSE),0)</f>
        <v>15</v>
      </c>
      <c r="E267" s="7">
        <f t="shared" si="8"/>
        <v>281</v>
      </c>
      <c r="F267" s="7" t="str">
        <f t="shared" si="9"/>
        <v>無資料</v>
      </c>
      <c r="G267" s="7" t="e">
        <f>VLOOKUP(A267,Sheet5!$A$2:$D$415,4,FALSE)</f>
        <v>#N/A</v>
      </c>
      <c r="H267" s="7" t="e">
        <f>VLOOKUP(A267,Sheet5!$A$2:$D$415,3,FALSE)</f>
        <v>#N/A</v>
      </c>
      <c r="I267" s="7">
        <f>VLOOKUP(A267,'1201-29周均耗用'!$A$1:$C$602,3,FALSE)</f>
        <v>26.2</v>
      </c>
    </row>
    <row r="268" spans="1:9">
      <c r="A268" s="13" t="s">
        <v>541</v>
      </c>
      <c r="B268" s="14" t="s">
        <v>542</v>
      </c>
      <c r="C268" s="13">
        <v>1096</v>
      </c>
      <c r="D268" s="7">
        <f>VLOOKUP(A268,'1227-29耗量'!$A$1:$C$602,3,FALSE)</f>
        <v>82</v>
      </c>
      <c r="E268" s="7">
        <f t="shared" si="8"/>
        <v>1014</v>
      </c>
      <c r="F268" s="7" t="str">
        <f t="shared" si="9"/>
        <v>錯誤</v>
      </c>
      <c r="G268" s="7">
        <f>VLOOKUP(A268,Sheet5!$A$2:$D$415,4,FALSE)</f>
        <v>755</v>
      </c>
      <c r="H268" s="7">
        <f>VLOOKUP(A268,Sheet5!$A$2:$D$415,3,FALSE)</f>
        <v>1800</v>
      </c>
      <c r="I268" s="7">
        <f>VLOOKUP(A268,'1201-29周均耗用'!$A$1:$C$602,3,FALSE)</f>
        <v>417.2</v>
      </c>
    </row>
    <row r="269" spans="1:9">
      <c r="A269" s="13" t="s">
        <v>543</v>
      </c>
      <c r="B269" s="14" t="s">
        <v>544</v>
      </c>
      <c r="C269" s="13">
        <v>9</v>
      </c>
      <c r="D269" s="7">
        <f>IFERROR(VLOOKUP(A269,'1227-29耗量'!$A$1:$C$602,3,FALSE),0)</f>
        <v>0</v>
      </c>
      <c r="E269" s="7">
        <f t="shared" si="8"/>
        <v>9</v>
      </c>
      <c r="F269" s="7" t="str">
        <f t="shared" si="9"/>
        <v>無資料</v>
      </c>
      <c r="G269" s="7" t="e">
        <f>VLOOKUP(A269,Sheet5!$A$2:$D$415,4,FALSE)</f>
        <v>#N/A</v>
      </c>
      <c r="H269" s="7" t="e">
        <f>VLOOKUP(A269,Sheet5!$A$2:$D$415,3,FALSE)</f>
        <v>#N/A</v>
      </c>
      <c r="I269" s="7" t="e">
        <f>VLOOKUP(A269,'1201-29周均耗用'!$A$1:$C$602,3,FALSE)</f>
        <v>#N/A</v>
      </c>
    </row>
    <row r="270" spans="1:9">
      <c r="A270" s="13" t="s">
        <v>545</v>
      </c>
      <c r="B270" s="14" t="s">
        <v>546</v>
      </c>
      <c r="C270" s="13">
        <v>0</v>
      </c>
      <c r="D270" s="7">
        <f>IFERROR(VLOOKUP(A270,'1227-29耗量'!$A$1:$C$602,3,FALSE),0)</f>
        <v>0</v>
      </c>
      <c r="E270" s="7">
        <f t="shared" si="8"/>
        <v>0</v>
      </c>
      <c r="F270" s="7" t="str">
        <f t="shared" si="9"/>
        <v>無資料</v>
      </c>
      <c r="G270" s="7" t="e">
        <f>VLOOKUP(A270,Sheet5!$A$2:$D$415,4,FALSE)</f>
        <v>#N/A</v>
      </c>
      <c r="H270" s="7" t="e">
        <f>VLOOKUP(A270,Sheet5!$A$2:$D$415,3,FALSE)</f>
        <v>#N/A</v>
      </c>
      <c r="I270" s="7">
        <f>VLOOKUP(A270,'1201-29周均耗用'!$A$1:$C$602,3,FALSE)</f>
        <v>1.2</v>
      </c>
    </row>
    <row r="271" spans="1:9">
      <c r="A271" s="13" t="s">
        <v>547</v>
      </c>
      <c r="B271" s="14" t="s">
        <v>548</v>
      </c>
      <c r="C271" s="13">
        <v>139</v>
      </c>
      <c r="D271" s="7">
        <f>IFERROR(VLOOKUP(A271,'1227-29耗量'!$A$1:$C$602,3,FALSE),0)</f>
        <v>0</v>
      </c>
      <c r="E271" s="7">
        <f t="shared" si="8"/>
        <v>139</v>
      </c>
      <c r="F271" s="7" t="str">
        <f t="shared" si="9"/>
        <v>無資料</v>
      </c>
      <c r="G271" s="7" t="e">
        <f>VLOOKUP(A271,Sheet5!$A$2:$D$415,4,FALSE)</f>
        <v>#N/A</v>
      </c>
      <c r="H271" s="7" t="e">
        <f>VLOOKUP(A271,Sheet5!$A$2:$D$415,3,FALSE)</f>
        <v>#N/A</v>
      </c>
      <c r="I271" s="7" t="e">
        <f>VLOOKUP(A271,'1201-29周均耗用'!$A$1:$C$602,3,FALSE)</f>
        <v>#N/A</v>
      </c>
    </row>
    <row r="272" spans="1:9">
      <c r="A272" s="13" t="s">
        <v>549</v>
      </c>
      <c r="B272" s="14" t="s">
        <v>550</v>
      </c>
      <c r="C272" s="13">
        <v>669</v>
      </c>
      <c r="D272" s="7">
        <f>VLOOKUP(A272,'1227-29耗量'!$A$1:$C$602,3,FALSE)</f>
        <v>38</v>
      </c>
      <c r="E272" s="7">
        <f t="shared" si="8"/>
        <v>631</v>
      </c>
      <c r="F272" s="7" t="str">
        <f t="shared" si="9"/>
        <v>錯誤</v>
      </c>
      <c r="G272" s="7">
        <f>VLOOKUP(A272,Sheet5!$A$2:$D$415,4,FALSE)</f>
        <v>402</v>
      </c>
      <c r="H272" s="7">
        <f>VLOOKUP(A272,Sheet5!$A$2:$D$415,3,FALSE)</f>
        <v>800</v>
      </c>
      <c r="I272" s="7">
        <f>VLOOKUP(A272,'1201-29周均耗用'!$A$1:$C$602,3,FALSE)</f>
        <v>224.5</v>
      </c>
    </row>
    <row r="273" spans="1:9">
      <c r="A273" s="13" t="s">
        <v>551</v>
      </c>
      <c r="B273" s="14" t="s">
        <v>552</v>
      </c>
      <c r="C273" s="13">
        <v>0</v>
      </c>
      <c r="D273" s="7">
        <f>IFERROR(VLOOKUP(A273,'1227-29耗量'!$A$1:$C$602,3,FALSE),0)</f>
        <v>0</v>
      </c>
      <c r="E273" s="7">
        <f t="shared" si="8"/>
        <v>0</v>
      </c>
      <c r="F273" s="7" t="str">
        <f t="shared" si="9"/>
        <v>無資料</v>
      </c>
      <c r="G273" s="7" t="e">
        <f>VLOOKUP(A273,Sheet5!$A$2:$D$415,4,FALSE)</f>
        <v>#N/A</v>
      </c>
      <c r="H273" s="7" t="e">
        <f>VLOOKUP(A273,Sheet5!$A$2:$D$415,3,FALSE)</f>
        <v>#N/A</v>
      </c>
      <c r="I273" s="7" t="e">
        <f>VLOOKUP(A273,'1201-29周均耗用'!$A$1:$C$602,3,FALSE)</f>
        <v>#N/A</v>
      </c>
    </row>
    <row r="274" spans="1:9">
      <c r="A274" s="13" t="s">
        <v>553</v>
      </c>
      <c r="B274" s="14" t="s">
        <v>554</v>
      </c>
      <c r="C274" s="13">
        <v>0</v>
      </c>
      <c r="D274" s="7">
        <f>IFERROR(VLOOKUP(A274,'1227-29耗量'!$A$1:$C$602,3,FALSE),0)</f>
        <v>0</v>
      </c>
      <c r="E274" s="7">
        <f t="shared" si="8"/>
        <v>0</v>
      </c>
      <c r="F274" s="7" t="str">
        <f t="shared" si="9"/>
        <v>無資料</v>
      </c>
      <c r="G274" s="7" t="e">
        <f>VLOOKUP(A274,Sheet5!$A$2:$D$415,4,FALSE)</f>
        <v>#N/A</v>
      </c>
      <c r="H274" s="7" t="e">
        <f>VLOOKUP(A274,Sheet5!$A$2:$D$415,3,FALSE)</f>
        <v>#N/A</v>
      </c>
      <c r="I274" s="7" t="e">
        <f>VLOOKUP(A274,'1201-29周均耗用'!$A$1:$C$602,3,FALSE)</f>
        <v>#N/A</v>
      </c>
    </row>
    <row r="275" spans="1:9">
      <c r="A275" s="13" t="s">
        <v>555</v>
      </c>
      <c r="B275" s="14" t="s">
        <v>556</v>
      </c>
      <c r="C275" s="13">
        <v>0</v>
      </c>
      <c r="D275" s="7">
        <f>IFERROR(VLOOKUP(A275,'1227-29耗量'!$A$1:$C$602,3,FALSE),0)</f>
        <v>0</v>
      </c>
      <c r="E275" s="7">
        <f t="shared" si="8"/>
        <v>0</v>
      </c>
      <c r="F275" s="7" t="str">
        <f t="shared" si="9"/>
        <v>無資料</v>
      </c>
      <c r="G275" s="7" t="e">
        <f>VLOOKUP(A275,Sheet5!$A$2:$D$415,4,FALSE)</f>
        <v>#N/A</v>
      </c>
      <c r="H275" s="7" t="e">
        <f>VLOOKUP(A275,Sheet5!$A$2:$D$415,3,FALSE)</f>
        <v>#N/A</v>
      </c>
      <c r="I275" s="7" t="e">
        <f>VLOOKUP(A275,'1201-29周均耗用'!$A$1:$C$602,3,FALSE)</f>
        <v>#N/A</v>
      </c>
    </row>
    <row r="276" spans="1:9">
      <c r="A276" s="13" t="s">
        <v>557</v>
      </c>
      <c r="B276" s="14" t="s">
        <v>558</v>
      </c>
      <c r="C276" s="13">
        <v>0</v>
      </c>
      <c r="D276" s="7">
        <f>IFERROR(VLOOKUP(A276,'1227-29耗量'!$A$1:$C$602,3,FALSE),0)</f>
        <v>0</v>
      </c>
      <c r="E276" s="7">
        <f t="shared" si="8"/>
        <v>0</v>
      </c>
      <c r="F276" s="7" t="str">
        <f t="shared" si="9"/>
        <v>無資料</v>
      </c>
      <c r="G276" s="7" t="e">
        <f>VLOOKUP(A276,Sheet5!$A$2:$D$415,4,FALSE)</f>
        <v>#N/A</v>
      </c>
      <c r="H276" s="7" t="e">
        <f>VLOOKUP(A276,Sheet5!$A$2:$D$415,3,FALSE)</f>
        <v>#N/A</v>
      </c>
      <c r="I276" s="7" t="e">
        <f>VLOOKUP(A276,'1201-29周均耗用'!$A$1:$C$602,3,FALSE)</f>
        <v>#N/A</v>
      </c>
    </row>
    <row r="277" spans="1:9">
      <c r="A277" s="13" t="s">
        <v>559</v>
      </c>
      <c r="B277" s="14" t="s">
        <v>560</v>
      </c>
      <c r="C277" s="13">
        <v>0</v>
      </c>
      <c r="D277" s="7">
        <f>IFERROR(VLOOKUP(A277,'1227-29耗量'!$A$1:$C$602,3,FALSE),0)</f>
        <v>0</v>
      </c>
      <c r="E277" s="7">
        <f t="shared" si="8"/>
        <v>0</v>
      </c>
      <c r="F277" s="7" t="str">
        <f t="shared" si="9"/>
        <v>無資料</v>
      </c>
      <c r="G277" s="7" t="e">
        <f>VLOOKUP(A277,Sheet5!$A$2:$D$415,4,FALSE)</f>
        <v>#N/A</v>
      </c>
      <c r="H277" s="7" t="e">
        <f>VLOOKUP(A277,Sheet5!$A$2:$D$415,3,FALSE)</f>
        <v>#N/A</v>
      </c>
      <c r="I277" s="7" t="e">
        <f>VLOOKUP(A277,'1201-29周均耗用'!$A$1:$C$602,3,FALSE)</f>
        <v>#N/A</v>
      </c>
    </row>
    <row r="278" spans="1:9">
      <c r="A278" s="13" t="s">
        <v>561</v>
      </c>
      <c r="B278" s="14" t="s">
        <v>562</v>
      </c>
      <c r="C278" s="13">
        <v>0</v>
      </c>
      <c r="D278" s="7">
        <f>IFERROR(VLOOKUP(A278,'1227-29耗量'!$A$1:$C$602,3,FALSE),0)</f>
        <v>0</v>
      </c>
      <c r="E278" s="7">
        <f t="shared" si="8"/>
        <v>0</v>
      </c>
      <c r="F278" s="7" t="str">
        <f t="shared" si="9"/>
        <v>無資料</v>
      </c>
      <c r="G278" s="7" t="e">
        <f>VLOOKUP(A278,Sheet5!$A$2:$D$415,4,FALSE)</f>
        <v>#N/A</v>
      </c>
      <c r="H278" s="7" t="e">
        <f>VLOOKUP(A278,Sheet5!$A$2:$D$415,3,FALSE)</f>
        <v>#N/A</v>
      </c>
      <c r="I278" s="7" t="e">
        <f>VLOOKUP(A278,'1201-29周均耗用'!$A$1:$C$602,3,FALSE)</f>
        <v>#N/A</v>
      </c>
    </row>
    <row r="279" spans="1:9">
      <c r="A279" s="13" t="s">
        <v>563</v>
      </c>
      <c r="B279" s="14" t="s">
        <v>564</v>
      </c>
      <c r="C279" s="13">
        <v>9</v>
      </c>
      <c r="D279" s="7">
        <f>IFERROR(VLOOKUP(A279,'1227-29耗量'!$A$1:$C$602,3,FALSE),0)</f>
        <v>0</v>
      </c>
      <c r="E279" s="7">
        <f t="shared" si="8"/>
        <v>9</v>
      </c>
      <c r="F279" s="7" t="str">
        <f t="shared" si="9"/>
        <v>錯誤</v>
      </c>
      <c r="G279" s="7">
        <f>VLOOKUP(A279,Sheet5!$A$2:$D$415,4,FALSE)</f>
        <v>0</v>
      </c>
      <c r="H279" s="7">
        <f>VLOOKUP(A279,Sheet5!$A$2:$D$415,3,FALSE)</f>
        <v>10</v>
      </c>
      <c r="I279" s="7" t="e">
        <f>VLOOKUP(A279,'1201-29周均耗用'!$A$1:$C$602,3,FALSE)</f>
        <v>#N/A</v>
      </c>
    </row>
    <row r="280" spans="1:9">
      <c r="A280" s="13" t="s">
        <v>565</v>
      </c>
      <c r="B280" s="14" t="s">
        <v>566</v>
      </c>
      <c r="C280" s="13">
        <v>351</v>
      </c>
      <c r="D280" s="7">
        <f>VLOOKUP(A280,'1227-29耗量'!$A$1:$C$602,3,FALSE)</f>
        <v>28</v>
      </c>
      <c r="E280" s="7">
        <f t="shared" si="8"/>
        <v>323</v>
      </c>
      <c r="F280" s="7" t="str">
        <f t="shared" si="9"/>
        <v>錯誤</v>
      </c>
      <c r="G280" s="7">
        <f>VLOOKUP(A280,Sheet5!$A$2:$D$415,4,FALSE)</f>
        <v>169</v>
      </c>
      <c r="H280" s="7">
        <f>VLOOKUP(A280,Sheet5!$A$2:$D$415,3,FALSE)</f>
        <v>200</v>
      </c>
      <c r="I280" s="7">
        <f>VLOOKUP(A280,'1201-29周均耗用'!$A$1:$C$602,3,FALSE)</f>
        <v>59</v>
      </c>
    </row>
    <row r="281" spans="1:9">
      <c r="A281" s="13" t="s">
        <v>567</v>
      </c>
      <c r="B281" s="14" t="s">
        <v>568</v>
      </c>
      <c r="C281" s="13">
        <v>312</v>
      </c>
      <c r="D281" s="7">
        <f>IFERROR(VLOOKUP(A281,'1227-29耗量'!$A$1:$C$602,3,FALSE),0)</f>
        <v>5</v>
      </c>
      <c r="E281" s="7">
        <f t="shared" si="8"/>
        <v>307</v>
      </c>
      <c r="F281" s="7" t="str">
        <f t="shared" si="9"/>
        <v>無資料</v>
      </c>
      <c r="G281" s="7" t="e">
        <f>VLOOKUP(A281,Sheet5!$A$2:$D$415,4,FALSE)</f>
        <v>#N/A</v>
      </c>
      <c r="H281" s="7" t="e">
        <f>VLOOKUP(A281,Sheet5!$A$2:$D$415,3,FALSE)</f>
        <v>#N/A</v>
      </c>
      <c r="I281" s="7">
        <f>VLOOKUP(A281,'1201-29周均耗用'!$A$1:$C$602,3,FALSE)</f>
        <v>36</v>
      </c>
    </row>
    <row r="282" spans="1:9">
      <c r="A282" s="13" t="s">
        <v>569</v>
      </c>
      <c r="B282" s="14" t="s">
        <v>570</v>
      </c>
      <c r="C282" s="13">
        <v>0</v>
      </c>
      <c r="D282" s="7">
        <f>IFERROR(VLOOKUP(A282,'1227-29耗量'!$A$1:$C$602,3,FALSE),0)</f>
        <v>0</v>
      </c>
      <c r="E282" s="7">
        <f t="shared" si="8"/>
        <v>0</v>
      </c>
      <c r="F282" s="7" t="str">
        <f t="shared" si="9"/>
        <v>無資料</v>
      </c>
      <c r="G282" s="7" t="e">
        <f>VLOOKUP(A282,Sheet5!$A$2:$D$415,4,FALSE)</f>
        <v>#N/A</v>
      </c>
      <c r="H282" s="7" t="e">
        <f>VLOOKUP(A282,Sheet5!$A$2:$D$415,3,FALSE)</f>
        <v>#N/A</v>
      </c>
      <c r="I282" s="7" t="e">
        <f>VLOOKUP(A282,'1201-29周均耗用'!$A$1:$C$602,3,FALSE)</f>
        <v>#N/A</v>
      </c>
    </row>
    <row r="283" spans="1:9">
      <c r="A283" s="13" t="s">
        <v>571</v>
      </c>
      <c r="B283" s="14" t="s">
        <v>572</v>
      </c>
      <c r="C283" s="13">
        <v>955</v>
      </c>
      <c r="D283" s="7">
        <f>VLOOKUP(A283,'1227-29耗量'!$A$1:$C$602,3,FALSE)</f>
        <v>72</v>
      </c>
      <c r="E283" s="7">
        <f t="shared" si="8"/>
        <v>883</v>
      </c>
      <c r="F283" s="7" t="str">
        <f t="shared" si="9"/>
        <v>錯誤</v>
      </c>
      <c r="G283" s="7">
        <f>VLOOKUP(A283,Sheet5!$A$2:$D$415,4,FALSE)</f>
        <v>417</v>
      </c>
      <c r="H283" s="7">
        <f>VLOOKUP(A283,Sheet5!$A$2:$D$415,3,FALSE)</f>
        <v>558</v>
      </c>
      <c r="I283" s="7">
        <f>VLOOKUP(A283,'1201-29周均耗用'!$A$1:$C$602,3,FALSE)</f>
        <v>313.8</v>
      </c>
    </row>
    <row r="284" spans="1:9">
      <c r="A284" s="13" t="s">
        <v>573</v>
      </c>
      <c r="B284" s="14" t="s">
        <v>574</v>
      </c>
      <c r="C284" s="13">
        <v>419</v>
      </c>
      <c r="D284" s="7">
        <f>IFERROR(VLOOKUP(A284,'1227-29耗量'!$A$1:$C$602,3,FALSE),0)</f>
        <v>20</v>
      </c>
      <c r="E284" s="7">
        <f t="shared" si="8"/>
        <v>399</v>
      </c>
      <c r="F284" s="7" t="str">
        <f t="shared" si="9"/>
        <v>無資料</v>
      </c>
      <c r="G284" s="7" t="e">
        <f>VLOOKUP(A284,Sheet5!$A$2:$D$415,4,FALSE)</f>
        <v>#N/A</v>
      </c>
      <c r="H284" s="7" t="e">
        <f>VLOOKUP(A284,Sheet5!$A$2:$D$415,3,FALSE)</f>
        <v>#N/A</v>
      </c>
      <c r="I284" s="7">
        <f>VLOOKUP(A284,'1201-29周均耗用'!$A$1:$C$602,3,FALSE)</f>
        <v>107.8</v>
      </c>
    </row>
    <row r="285" spans="1:9">
      <c r="A285" s="13" t="s">
        <v>575</v>
      </c>
      <c r="B285" s="14" t="s">
        <v>576</v>
      </c>
      <c r="C285" s="13">
        <v>0</v>
      </c>
      <c r="D285" s="7">
        <f>IFERROR(VLOOKUP(A285,'1227-29耗量'!$A$1:$C$602,3,FALSE),0)</f>
        <v>0</v>
      </c>
      <c r="E285" s="7">
        <f t="shared" si="8"/>
        <v>0</v>
      </c>
      <c r="F285" s="7" t="str">
        <f t="shared" si="9"/>
        <v>無資料</v>
      </c>
      <c r="G285" s="7" t="e">
        <f>VLOOKUP(A285,Sheet5!$A$2:$D$415,4,FALSE)</f>
        <v>#N/A</v>
      </c>
      <c r="H285" s="7" t="e">
        <f>VLOOKUP(A285,Sheet5!$A$2:$D$415,3,FALSE)</f>
        <v>#N/A</v>
      </c>
      <c r="I285" s="7" t="e">
        <f>VLOOKUP(A285,'1201-29周均耗用'!$A$1:$C$602,3,FALSE)</f>
        <v>#N/A</v>
      </c>
    </row>
    <row r="286" spans="1:9">
      <c r="A286" s="13" t="s">
        <v>577</v>
      </c>
      <c r="B286" s="14" t="s">
        <v>578</v>
      </c>
      <c r="C286" s="13">
        <v>160</v>
      </c>
      <c r="D286" s="7">
        <f>VLOOKUP(A286,'1227-29耗量'!$A$1:$C$602,3,FALSE)</f>
        <v>7</v>
      </c>
      <c r="E286" s="7">
        <f t="shared" si="8"/>
        <v>153</v>
      </c>
      <c r="F286" s="7" t="str">
        <f t="shared" si="9"/>
        <v>錯誤</v>
      </c>
      <c r="G286" s="7">
        <f>VLOOKUP(A286,Sheet5!$A$2:$D$415,4,FALSE)</f>
        <v>83</v>
      </c>
      <c r="H286" s="7">
        <f>VLOOKUP(A286,Sheet5!$A$2:$D$415,3,FALSE)</f>
        <v>100</v>
      </c>
      <c r="I286" s="7">
        <f>VLOOKUP(A286,'1201-29周均耗用'!$A$1:$C$602,3,FALSE)</f>
        <v>39</v>
      </c>
    </row>
    <row r="287" spans="1:9">
      <c r="A287" s="13" t="s">
        <v>579</v>
      </c>
      <c r="B287" s="14" t="s">
        <v>580</v>
      </c>
      <c r="C287" s="13">
        <v>526</v>
      </c>
      <c r="D287" s="7">
        <f>VLOOKUP(A287,'1227-29耗量'!$A$1:$C$602,3,FALSE)</f>
        <v>97</v>
      </c>
      <c r="E287" s="7">
        <f t="shared" si="8"/>
        <v>429</v>
      </c>
      <c r="F287" s="7" t="str">
        <f t="shared" si="9"/>
        <v>錯誤</v>
      </c>
      <c r="G287" s="7">
        <f>VLOOKUP(A287,Sheet5!$A$2:$D$415,4,FALSE)</f>
        <v>50</v>
      </c>
      <c r="H287" s="7">
        <f>VLOOKUP(A287,Sheet5!$A$2:$D$415,3,FALSE)</f>
        <v>1260</v>
      </c>
      <c r="I287" s="7">
        <f>VLOOKUP(A287,'1201-29周均耗用'!$A$1:$C$602,3,FALSE)</f>
        <v>366.2</v>
      </c>
    </row>
    <row r="288" spans="1:9">
      <c r="A288" s="13" t="s">
        <v>581</v>
      </c>
      <c r="B288" s="14" t="s">
        <v>582</v>
      </c>
      <c r="C288" s="13">
        <v>47</v>
      </c>
      <c r="D288" s="7">
        <f>IFERROR(VLOOKUP(A288,'1227-29耗量'!$A$1:$C$602,3,FALSE),0)</f>
        <v>0</v>
      </c>
      <c r="E288" s="7">
        <f t="shared" si="8"/>
        <v>47</v>
      </c>
      <c r="F288" s="7" t="str">
        <f t="shared" si="9"/>
        <v>無資料</v>
      </c>
      <c r="G288" s="7" t="e">
        <f>VLOOKUP(A288,Sheet5!$A$2:$D$415,4,FALSE)</f>
        <v>#N/A</v>
      </c>
      <c r="H288" s="7" t="e">
        <f>VLOOKUP(A288,Sheet5!$A$2:$D$415,3,FALSE)</f>
        <v>#N/A</v>
      </c>
      <c r="I288" s="7">
        <f>VLOOKUP(A288,'1201-29周均耗用'!$A$1:$C$602,3,FALSE)</f>
        <v>0.8</v>
      </c>
    </row>
    <row r="289" spans="1:9">
      <c r="A289" s="13" t="s">
        <v>583</v>
      </c>
      <c r="B289" s="14" t="s">
        <v>584</v>
      </c>
      <c r="C289" s="13">
        <v>0</v>
      </c>
      <c r="D289" s="7">
        <f>IFERROR(VLOOKUP(A289,'1227-29耗量'!$A$1:$C$602,3,FALSE),0)</f>
        <v>0</v>
      </c>
      <c r="E289" s="7">
        <f t="shared" si="8"/>
        <v>0</v>
      </c>
      <c r="F289" s="7" t="str">
        <f t="shared" si="9"/>
        <v>錯誤</v>
      </c>
      <c r="G289" s="7">
        <f>VLOOKUP(A289,Sheet5!$A$2:$D$415,4,FALSE)</f>
        <v>4</v>
      </c>
      <c r="H289" s="7">
        <f>VLOOKUP(A289,Sheet5!$A$2:$D$415,3,FALSE)</f>
        <v>25</v>
      </c>
      <c r="I289" s="7">
        <f>VLOOKUP(A289,'1201-29周均耗用'!$A$1:$C$602,3,FALSE)</f>
        <v>17.8</v>
      </c>
    </row>
    <row r="290" spans="1:9">
      <c r="A290" s="13" t="s">
        <v>585</v>
      </c>
      <c r="B290" s="14" t="s">
        <v>586</v>
      </c>
      <c r="C290" s="13">
        <v>45</v>
      </c>
      <c r="D290" s="7">
        <f>IFERROR(VLOOKUP(A290,'1227-29耗量'!$A$1:$C$602,3,FALSE),0)</f>
        <v>0</v>
      </c>
      <c r="E290" s="7">
        <f t="shared" si="8"/>
        <v>45</v>
      </c>
      <c r="F290" s="7" t="str">
        <f t="shared" si="9"/>
        <v>無資料</v>
      </c>
      <c r="G290" s="7" t="e">
        <f>VLOOKUP(A290,Sheet5!$A$2:$D$415,4,FALSE)</f>
        <v>#N/A</v>
      </c>
      <c r="H290" s="7" t="e">
        <f>VLOOKUP(A290,Sheet5!$A$2:$D$415,3,FALSE)</f>
        <v>#N/A</v>
      </c>
      <c r="I290" s="7" t="e">
        <f>VLOOKUP(A290,'1201-29周均耗用'!$A$1:$C$602,3,FALSE)</f>
        <v>#N/A</v>
      </c>
    </row>
    <row r="291" spans="1:9">
      <c r="A291" s="13" t="s">
        <v>587</v>
      </c>
      <c r="B291" s="14" t="s">
        <v>588</v>
      </c>
      <c r="C291" s="13">
        <v>0</v>
      </c>
      <c r="D291" s="7">
        <f>IFERROR(VLOOKUP(A291,'1227-29耗量'!$A$1:$C$602,3,FALSE),0)</f>
        <v>0</v>
      </c>
      <c r="E291" s="7">
        <f t="shared" si="8"/>
        <v>0</v>
      </c>
      <c r="F291" s="7" t="str">
        <f t="shared" si="9"/>
        <v>無資料</v>
      </c>
      <c r="G291" s="7" t="e">
        <f>VLOOKUP(A291,Sheet5!$A$2:$D$415,4,FALSE)</f>
        <v>#N/A</v>
      </c>
      <c r="H291" s="7" t="e">
        <f>VLOOKUP(A291,Sheet5!$A$2:$D$415,3,FALSE)</f>
        <v>#N/A</v>
      </c>
      <c r="I291" s="7" t="e">
        <f>VLOOKUP(A291,'1201-29周均耗用'!$A$1:$C$602,3,FALSE)</f>
        <v>#N/A</v>
      </c>
    </row>
    <row r="292" spans="1:9">
      <c r="A292" s="13" t="s">
        <v>589</v>
      </c>
      <c r="B292" s="14" t="s">
        <v>590</v>
      </c>
      <c r="C292" s="13">
        <v>10</v>
      </c>
      <c r="D292" s="7">
        <f>IFERROR(VLOOKUP(A292,'1227-29耗量'!$A$1:$C$602,3,FALSE),0)</f>
        <v>0</v>
      </c>
      <c r="E292" s="7">
        <f t="shared" si="8"/>
        <v>10</v>
      </c>
      <c r="F292" s="7" t="str">
        <f t="shared" si="9"/>
        <v>無資料</v>
      </c>
      <c r="G292" s="7" t="e">
        <f>VLOOKUP(A292,Sheet5!$A$2:$D$415,4,FALSE)</f>
        <v>#N/A</v>
      </c>
      <c r="H292" s="7" t="e">
        <f>VLOOKUP(A292,Sheet5!$A$2:$D$415,3,FALSE)</f>
        <v>#N/A</v>
      </c>
      <c r="I292" s="7">
        <f>VLOOKUP(A292,'1201-29周均耗用'!$A$1:$C$602,3,FALSE)</f>
        <v>16.5</v>
      </c>
    </row>
    <row r="293" spans="1:9">
      <c r="A293" s="13" t="s">
        <v>591</v>
      </c>
      <c r="B293" s="14" t="s">
        <v>592</v>
      </c>
      <c r="C293" s="13">
        <v>71</v>
      </c>
      <c r="D293" s="7">
        <f>VLOOKUP(A293,'1227-29耗量'!$A$1:$C$602,3,FALSE)</f>
        <v>7</v>
      </c>
      <c r="E293" s="7">
        <f t="shared" si="8"/>
        <v>64</v>
      </c>
      <c r="F293" s="7" t="str">
        <f t="shared" si="9"/>
        <v>錯誤</v>
      </c>
      <c r="G293" s="7">
        <f>VLOOKUP(A293,Sheet5!$A$2:$D$415,4,FALSE)</f>
        <v>-255</v>
      </c>
      <c r="H293" s="7">
        <f>VLOOKUP(A293,Sheet5!$A$2:$D$415,3,FALSE)</f>
        <v>270</v>
      </c>
      <c r="I293" s="7">
        <f>VLOOKUP(A293,'1201-29周均耗用'!$A$1:$C$602,3,FALSE)</f>
        <v>36.2</v>
      </c>
    </row>
    <row r="294" spans="1:9">
      <c r="A294" s="13" t="s">
        <v>593</v>
      </c>
      <c r="B294" s="14" t="s">
        <v>594</v>
      </c>
      <c r="C294" s="13">
        <v>0</v>
      </c>
      <c r="D294" s="7">
        <f>IFERROR(VLOOKUP(A294,'1227-29耗量'!$A$1:$C$602,3,FALSE),0)</f>
        <v>0</v>
      </c>
      <c r="E294" s="7">
        <f t="shared" si="8"/>
        <v>0</v>
      </c>
      <c r="F294" s="7" t="str">
        <f t="shared" si="9"/>
        <v>無資料</v>
      </c>
      <c r="G294" s="7" t="e">
        <f>VLOOKUP(A294,Sheet5!$A$2:$D$415,4,FALSE)</f>
        <v>#N/A</v>
      </c>
      <c r="H294" s="7" t="e">
        <f>VLOOKUP(A294,Sheet5!$A$2:$D$415,3,FALSE)</f>
        <v>#N/A</v>
      </c>
      <c r="I294" s="7" t="e">
        <f>VLOOKUP(A294,'1201-29周均耗用'!$A$1:$C$602,3,FALSE)</f>
        <v>#N/A</v>
      </c>
    </row>
    <row r="295" spans="1:9">
      <c r="A295" s="13" t="s">
        <v>595</v>
      </c>
      <c r="B295" s="14" t="s">
        <v>596</v>
      </c>
      <c r="C295" s="13">
        <v>1</v>
      </c>
      <c r="D295" s="7">
        <f>IFERROR(VLOOKUP(A295,'1227-29耗量'!$A$1:$C$602,3,FALSE),0)</f>
        <v>0</v>
      </c>
      <c r="E295" s="7">
        <f t="shared" si="8"/>
        <v>1</v>
      </c>
      <c r="F295" s="7" t="str">
        <f t="shared" si="9"/>
        <v>無資料</v>
      </c>
      <c r="G295" s="7" t="e">
        <f>VLOOKUP(A295,Sheet5!$A$2:$D$415,4,FALSE)</f>
        <v>#N/A</v>
      </c>
      <c r="H295" s="7" t="e">
        <f>VLOOKUP(A295,Sheet5!$A$2:$D$415,3,FALSE)</f>
        <v>#N/A</v>
      </c>
      <c r="I295" s="7" t="e">
        <f>VLOOKUP(A295,'1201-29周均耗用'!$A$1:$C$602,3,FALSE)</f>
        <v>#N/A</v>
      </c>
    </row>
    <row r="296" spans="1:9">
      <c r="A296" s="13" t="s">
        <v>597</v>
      </c>
      <c r="B296" s="14" t="s">
        <v>598</v>
      </c>
      <c r="C296" s="13">
        <v>1318</v>
      </c>
      <c r="D296" s="7">
        <f>IFERROR(VLOOKUP(A296,'1227-29耗量'!$A$1:$C$602,3,FALSE),0)</f>
        <v>27</v>
      </c>
      <c r="E296" s="7">
        <f t="shared" si="8"/>
        <v>1291</v>
      </c>
      <c r="F296" s="7" t="str">
        <f t="shared" si="9"/>
        <v>無資料</v>
      </c>
      <c r="G296" s="7" t="e">
        <f>VLOOKUP(A296,Sheet5!$A$2:$D$415,4,FALSE)</f>
        <v>#N/A</v>
      </c>
      <c r="H296" s="7" t="e">
        <f>VLOOKUP(A296,Sheet5!$A$2:$D$415,3,FALSE)</f>
        <v>#N/A</v>
      </c>
      <c r="I296" s="7">
        <f>VLOOKUP(A296,'1201-29周均耗用'!$A$1:$C$602,3,FALSE)</f>
        <v>226</v>
      </c>
    </row>
    <row r="297" spans="1:9">
      <c r="A297" s="13" t="s">
        <v>599</v>
      </c>
      <c r="B297" s="14" t="s">
        <v>600</v>
      </c>
      <c r="C297" s="13">
        <v>1978</v>
      </c>
      <c r="D297" s="7">
        <f>VLOOKUP(A297,'1227-29耗量'!$A$1:$C$602,3,FALSE)</f>
        <v>81</v>
      </c>
      <c r="E297" s="7">
        <f t="shared" si="8"/>
        <v>1897</v>
      </c>
      <c r="F297" s="7" t="str">
        <f t="shared" si="9"/>
        <v>錯誤</v>
      </c>
      <c r="G297" s="7">
        <f>VLOOKUP(A297,Sheet5!$A$2:$D$415,4,FALSE)</f>
        <v>1540</v>
      </c>
      <c r="H297" s="7">
        <f>VLOOKUP(A297,Sheet5!$A$2:$D$415,3,FALSE)</f>
        <v>1000</v>
      </c>
      <c r="I297" s="7">
        <f>VLOOKUP(A297,'1201-29周均耗用'!$A$1:$C$602,3,FALSE)</f>
        <v>646.8</v>
      </c>
    </row>
    <row r="298" spans="1:9">
      <c r="A298" s="13" t="s">
        <v>601</v>
      </c>
      <c r="B298" s="14" t="s">
        <v>602</v>
      </c>
      <c r="C298" s="13">
        <v>116</v>
      </c>
      <c r="D298" s="7">
        <f>VLOOKUP(A298,'1227-29耗量'!$A$1:$C$602,3,FALSE)</f>
        <v>6</v>
      </c>
      <c r="E298" s="7">
        <f t="shared" si="8"/>
        <v>110</v>
      </c>
      <c r="F298" s="7" t="str">
        <f t="shared" si="9"/>
        <v>錯誤</v>
      </c>
      <c r="G298" s="7">
        <f>VLOOKUP(A298,Sheet5!$A$2:$D$415,4,FALSE)</f>
        <v>24</v>
      </c>
      <c r="H298" s="7">
        <f>VLOOKUP(A298,Sheet5!$A$2:$D$415,3,FALSE)</f>
        <v>168</v>
      </c>
      <c r="I298" s="7">
        <f>VLOOKUP(A298,'1201-29周均耗用'!$A$1:$C$602,3,FALSE)</f>
        <v>47.8</v>
      </c>
    </row>
    <row r="299" spans="1:9">
      <c r="A299" s="13" t="s">
        <v>603</v>
      </c>
      <c r="B299" s="14" t="s">
        <v>604</v>
      </c>
      <c r="C299" s="13">
        <v>0</v>
      </c>
      <c r="D299" s="7">
        <f>IFERROR(VLOOKUP(A299,'1227-29耗量'!$A$1:$C$602,3,FALSE),0)</f>
        <v>0</v>
      </c>
      <c r="E299" s="7">
        <f t="shared" si="8"/>
        <v>0</v>
      </c>
      <c r="F299" s="7" t="str">
        <f t="shared" si="9"/>
        <v>無資料</v>
      </c>
      <c r="G299" s="7" t="e">
        <f>VLOOKUP(A299,Sheet5!$A$2:$D$415,4,FALSE)</f>
        <v>#N/A</v>
      </c>
      <c r="H299" s="7" t="e">
        <f>VLOOKUP(A299,Sheet5!$A$2:$D$415,3,FALSE)</f>
        <v>#N/A</v>
      </c>
      <c r="I299" s="7" t="e">
        <f>VLOOKUP(A299,'1201-29周均耗用'!$A$1:$C$602,3,FALSE)</f>
        <v>#N/A</v>
      </c>
    </row>
    <row r="300" spans="1:9">
      <c r="A300" s="13" t="s">
        <v>605</v>
      </c>
      <c r="B300" s="14" t="s">
        <v>606</v>
      </c>
      <c r="C300" s="13">
        <v>425</v>
      </c>
      <c r="D300" s="7">
        <f>IFERROR(VLOOKUP(A300,'1227-29耗量'!$A$1:$C$602,3,FALSE),0)</f>
        <v>0</v>
      </c>
      <c r="E300" s="7">
        <f t="shared" si="8"/>
        <v>425</v>
      </c>
      <c r="F300" s="7" t="str">
        <f t="shared" si="9"/>
        <v>無資料</v>
      </c>
      <c r="G300" s="7" t="e">
        <f>VLOOKUP(A300,Sheet5!$A$2:$D$415,4,FALSE)</f>
        <v>#N/A</v>
      </c>
      <c r="H300" s="7" t="e">
        <f>VLOOKUP(A300,Sheet5!$A$2:$D$415,3,FALSE)</f>
        <v>#N/A</v>
      </c>
      <c r="I300" s="7">
        <f>VLOOKUP(A300,'1201-29周均耗用'!$A$1:$C$602,3,FALSE)</f>
        <v>19</v>
      </c>
    </row>
    <row r="301" spans="1:9">
      <c r="A301" s="13" t="s">
        <v>607</v>
      </c>
      <c r="B301" s="14" t="s">
        <v>608</v>
      </c>
      <c r="C301" s="13">
        <v>568</v>
      </c>
      <c r="D301" s="7">
        <f>VLOOKUP(A301,'1227-29耗量'!$A$1:$C$602,3,FALSE)</f>
        <v>76</v>
      </c>
      <c r="E301" s="7">
        <f t="shared" si="8"/>
        <v>492</v>
      </c>
      <c r="F301" s="7" t="str">
        <f t="shared" si="9"/>
        <v>錯誤</v>
      </c>
      <c r="G301" s="7">
        <f>VLOOKUP(A301,Sheet5!$A$2:$D$415,4,FALSE)</f>
        <v>394</v>
      </c>
      <c r="H301" s="7">
        <f>VLOOKUP(A301,Sheet5!$A$2:$D$415,3,FALSE)</f>
        <v>1000</v>
      </c>
      <c r="I301" s="7">
        <f>VLOOKUP(A301,'1201-29周均耗用'!$A$1:$C$602,3,FALSE)</f>
        <v>281.2</v>
      </c>
    </row>
    <row r="302" spans="1:9">
      <c r="A302" s="13" t="s">
        <v>609</v>
      </c>
      <c r="B302" s="14" t="s">
        <v>610</v>
      </c>
      <c r="C302" s="13">
        <v>36</v>
      </c>
      <c r="D302" s="7">
        <f>IFERROR(VLOOKUP(A302,'1227-29耗量'!$A$1:$C$602,3,FALSE),0)</f>
        <v>0</v>
      </c>
      <c r="E302" s="7">
        <f t="shared" si="8"/>
        <v>36</v>
      </c>
      <c r="F302" s="7" t="str">
        <f t="shared" si="9"/>
        <v>無資料</v>
      </c>
      <c r="G302" s="7" t="e">
        <f>VLOOKUP(A302,Sheet5!$A$2:$D$415,4,FALSE)</f>
        <v>#N/A</v>
      </c>
      <c r="H302" s="7" t="e">
        <f>VLOOKUP(A302,Sheet5!$A$2:$D$415,3,FALSE)</f>
        <v>#N/A</v>
      </c>
      <c r="I302" s="7">
        <f>VLOOKUP(A302,'1201-29周均耗用'!$A$1:$C$602,3,FALSE)</f>
        <v>6.8</v>
      </c>
    </row>
    <row r="303" spans="1:9">
      <c r="A303" s="13" t="s">
        <v>611</v>
      </c>
      <c r="B303" s="14" t="s">
        <v>612</v>
      </c>
      <c r="C303" s="13">
        <v>127</v>
      </c>
      <c r="D303" s="7">
        <f>VLOOKUP(A303,'1227-29耗量'!$A$1:$C$602,3,FALSE)</f>
        <v>-1</v>
      </c>
      <c r="E303" s="7">
        <f t="shared" si="8"/>
        <v>128</v>
      </c>
      <c r="F303" s="7" t="str">
        <f t="shared" si="9"/>
        <v>錯誤</v>
      </c>
      <c r="G303" s="7">
        <f>VLOOKUP(A303,Sheet5!$A$2:$D$415,4,FALSE)</f>
        <v>104</v>
      </c>
      <c r="H303" s="7">
        <f>VLOOKUP(A303,Sheet5!$A$2:$D$415,3,FALSE)</f>
        <v>216</v>
      </c>
      <c r="I303" s="7">
        <f>VLOOKUP(A303,'1201-29周均耗用'!$A$1:$C$602,3,FALSE)</f>
        <v>57.5</v>
      </c>
    </row>
    <row r="304" spans="1:9">
      <c r="A304" s="13" t="s">
        <v>613</v>
      </c>
      <c r="B304" s="14" t="s">
        <v>614</v>
      </c>
      <c r="C304" s="13">
        <v>75</v>
      </c>
      <c r="D304" s="7">
        <f>IFERROR(VLOOKUP(A304,'1227-29耗量'!$A$1:$C$602,3,FALSE),0)</f>
        <v>18</v>
      </c>
      <c r="E304" s="7">
        <f t="shared" si="8"/>
        <v>57</v>
      </c>
      <c r="F304" s="7" t="str">
        <f t="shared" si="9"/>
        <v>無資料</v>
      </c>
      <c r="G304" s="7" t="e">
        <f>VLOOKUP(A304,Sheet5!$A$2:$D$415,4,FALSE)</f>
        <v>#N/A</v>
      </c>
      <c r="H304" s="7" t="e">
        <f>VLOOKUP(A304,Sheet5!$A$2:$D$415,3,FALSE)</f>
        <v>#N/A</v>
      </c>
      <c r="I304" s="7">
        <f>VLOOKUP(A304,'1201-29周均耗用'!$A$1:$C$602,3,FALSE)</f>
        <v>128.8</v>
      </c>
    </row>
    <row r="305" spans="1:9">
      <c r="A305" s="13" t="s">
        <v>615</v>
      </c>
      <c r="B305" s="14" t="s">
        <v>616</v>
      </c>
      <c r="C305" s="13">
        <v>267</v>
      </c>
      <c r="D305" s="7">
        <f>VLOOKUP(A305,'1227-29耗量'!$A$1:$C$602,3,FALSE)</f>
        <v>54</v>
      </c>
      <c r="E305" s="7">
        <f t="shared" si="8"/>
        <v>213</v>
      </c>
      <c r="F305" s="7" t="str">
        <f t="shared" si="9"/>
        <v>錯誤</v>
      </c>
      <c r="G305" s="7">
        <f>VLOOKUP(A305,Sheet5!$A$2:$D$415,4,FALSE)</f>
        <v>242</v>
      </c>
      <c r="H305" s="7">
        <f>VLOOKUP(A305,Sheet5!$A$2:$D$415,3,FALSE)</f>
        <v>300</v>
      </c>
      <c r="I305" s="7">
        <f>VLOOKUP(A305,'1201-29周均耗用'!$A$1:$C$602,3,FALSE)</f>
        <v>95.2</v>
      </c>
    </row>
    <row r="306" spans="1:9">
      <c r="A306" s="13" t="s">
        <v>617</v>
      </c>
      <c r="B306" s="14" t="s">
        <v>618</v>
      </c>
      <c r="C306" s="13">
        <v>17173</v>
      </c>
      <c r="D306" s="7">
        <f>VLOOKUP(A306,'1227-29耗量'!$A$1:$C$602,3,FALSE)</f>
        <v>1384</v>
      </c>
      <c r="E306" s="7">
        <f t="shared" si="8"/>
        <v>15789</v>
      </c>
      <c r="F306" s="7" t="str">
        <f t="shared" si="9"/>
        <v>錯誤</v>
      </c>
      <c r="G306" s="7">
        <f>VLOOKUP(A306,Sheet5!$A$2:$D$415,4,FALSE)</f>
        <v>8477</v>
      </c>
      <c r="H306" s="7">
        <f>VLOOKUP(A306,Sheet5!$A$2:$D$415,3,FALSE)</f>
        <v>24000</v>
      </c>
      <c r="I306" s="7">
        <f>VLOOKUP(A306,'1201-29周均耗用'!$A$1:$C$602,3,FALSE)</f>
        <v>7275.2</v>
      </c>
    </row>
    <row r="307" spans="1:9">
      <c r="A307" s="13" t="s">
        <v>619</v>
      </c>
      <c r="B307" s="14" t="s">
        <v>620</v>
      </c>
      <c r="C307" s="13">
        <v>53</v>
      </c>
      <c r="D307" s="7">
        <f>IFERROR(VLOOKUP(A307,'1227-29耗量'!$A$1:$C$602,3,FALSE),0)</f>
        <v>1</v>
      </c>
      <c r="E307" s="7">
        <f t="shared" si="8"/>
        <v>52</v>
      </c>
      <c r="F307" s="7" t="str">
        <f t="shared" si="9"/>
        <v>無資料</v>
      </c>
      <c r="G307" s="7" t="e">
        <f>VLOOKUP(A307,Sheet5!$A$2:$D$415,4,FALSE)</f>
        <v>#N/A</v>
      </c>
      <c r="H307" s="7" t="e">
        <f>VLOOKUP(A307,Sheet5!$A$2:$D$415,3,FALSE)</f>
        <v>#N/A</v>
      </c>
      <c r="I307" s="7" t="e">
        <f>VLOOKUP(A307,'1201-29周均耗用'!$A$1:$C$602,3,FALSE)</f>
        <v>#N/A</v>
      </c>
    </row>
    <row r="308" spans="1:9">
      <c r="A308" s="13" t="s">
        <v>621</v>
      </c>
      <c r="B308" s="14" t="s">
        <v>622</v>
      </c>
      <c r="C308" s="13">
        <v>0</v>
      </c>
      <c r="D308" s="7">
        <f>IFERROR(VLOOKUP(A308,'1227-29耗量'!$A$1:$C$602,3,FALSE),0)</f>
        <v>0</v>
      </c>
      <c r="E308" s="7">
        <f t="shared" si="8"/>
        <v>0</v>
      </c>
      <c r="F308" s="7" t="str">
        <f t="shared" si="9"/>
        <v>無資料</v>
      </c>
      <c r="G308" s="7" t="e">
        <f>VLOOKUP(A308,Sheet5!$A$2:$D$415,4,FALSE)</f>
        <v>#N/A</v>
      </c>
      <c r="H308" s="7" t="e">
        <f>VLOOKUP(A308,Sheet5!$A$2:$D$415,3,FALSE)</f>
        <v>#N/A</v>
      </c>
      <c r="I308" s="7" t="e">
        <f>VLOOKUP(A308,'1201-29周均耗用'!$A$1:$C$602,3,FALSE)</f>
        <v>#N/A</v>
      </c>
    </row>
    <row r="309" spans="1:9">
      <c r="A309" s="13" t="s">
        <v>623</v>
      </c>
      <c r="B309" s="14" t="s">
        <v>624</v>
      </c>
      <c r="C309" s="13">
        <v>0</v>
      </c>
      <c r="D309" s="7">
        <f>IFERROR(VLOOKUP(A309,'1227-29耗量'!$A$1:$C$602,3,FALSE),0)</f>
        <v>0</v>
      </c>
      <c r="E309" s="7">
        <f t="shared" si="8"/>
        <v>0</v>
      </c>
      <c r="F309" s="7" t="str">
        <f t="shared" si="9"/>
        <v>無資料</v>
      </c>
      <c r="G309" s="7" t="e">
        <f>VLOOKUP(A309,Sheet5!$A$2:$D$415,4,FALSE)</f>
        <v>#N/A</v>
      </c>
      <c r="H309" s="7" t="e">
        <f>VLOOKUP(A309,Sheet5!$A$2:$D$415,3,FALSE)</f>
        <v>#N/A</v>
      </c>
      <c r="I309" s="7" t="e">
        <f>VLOOKUP(A309,'1201-29周均耗用'!$A$1:$C$602,3,FALSE)</f>
        <v>#N/A</v>
      </c>
    </row>
    <row r="310" spans="1:9">
      <c r="A310" s="13" t="s">
        <v>625</v>
      </c>
      <c r="B310" s="14" t="s">
        <v>626</v>
      </c>
      <c r="C310" s="13">
        <v>279</v>
      </c>
      <c r="D310" s="7">
        <f>IFERROR(VLOOKUP(A310,'1227-29耗量'!$A$1:$C$602,3,FALSE),0)</f>
        <v>3</v>
      </c>
      <c r="E310" s="7">
        <f t="shared" si="8"/>
        <v>276</v>
      </c>
      <c r="F310" s="7" t="str">
        <f t="shared" si="9"/>
        <v>無資料</v>
      </c>
      <c r="G310" s="7" t="e">
        <f>VLOOKUP(A310,Sheet5!$A$2:$D$415,4,FALSE)</f>
        <v>#N/A</v>
      </c>
      <c r="H310" s="7" t="e">
        <f>VLOOKUP(A310,Sheet5!$A$2:$D$415,3,FALSE)</f>
        <v>#N/A</v>
      </c>
      <c r="I310" s="7">
        <f>VLOOKUP(A310,'1201-29周均耗用'!$A$1:$C$602,3,FALSE)</f>
        <v>25</v>
      </c>
    </row>
    <row r="311" spans="1:9">
      <c r="A311" s="13" t="s">
        <v>627</v>
      </c>
      <c r="B311" s="14" t="s">
        <v>628</v>
      </c>
      <c r="C311" s="13">
        <v>1</v>
      </c>
      <c r="D311" s="7">
        <f>IFERROR(VLOOKUP(A311,'1227-29耗量'!$A$1:$C$602,3,FALSE),0)</f>
        <v>0</v>
      </c>
      <c r="E311" s="7">
        <f t="shared" si="8"/>
        <v>1</v>
      </c>
      <c r="F311" s="7" t="str">
        <f t="shared" si="9"/>
        <v>無資料</v>
      </c>
      <c r="G311" s="7" t="e">
        <f>VLOOKUP(A311,Sheet5!$A$2:$D$415,4,FALSE)</f>
        <v>#N/A</v>
      </c>
      <c r="H311" s="7" t="e">
        <f>VLOOKUP(A311,Sheet5!$A$2:$D$415,3,FALSE)</f>
        <v>#N/A</v>
      </c>
      <c r="I311" s="7" t="e">
        <f>VLOOKUP(A311,'1201-29周均耗用'!$A$1:$C$602,3,FALSE)</f>
        <v>#N/A</v>
      </c>
    </row>
    <row r="312" spans="1:9">
      <c r="A312" s="13" t="s">
        <v>629</v>
      </c>
      <c r="B312" s="14" t="s">
        <v>630</v>
      </c>
      <c r="C312" s="13">
        <v>1099</v>
      </c>
      <c r="D312" s="7">
        <f>IFERROR(VLOOKUP(A312,'1227-29耗量'!$A$1:$C$602,3,FALSE),0)</f>
        <v>5</v>
      </c>
      <c r="E312" s="7">
        <f t="shared" si="8"/>
        <v>1094</v>
      </c>
      <c r="F312" s="7" t="str">
        <f t="shared" si="9"/>
        <v>無資料</v>
      </c>
      <c r="G312" s="7" t="e">
        <f>VLOOKUP(A312,Sheet5!$A$2:$D$415,4,FALSE)</f>
        <v>#N/A</v>
      </c>
      <c r="H312" s="7" t="e">
        <f>VLOOKUP(A312,Sheet5!$A$2:$D$415,3,FALSE)</f>
        <v>#N/A</v>
      </c>
      <c r="I312" s="7">
        <f>VLOOKUP(A312,'1201-29周均耗用'!$A$1:$C$602,3,FALSE)</f>
        <v>124.2</v>
      </c>
    </row>
    <row r="313" spans="1:9">
      <c r="A313" s="13" t="s">
        <v>631</v>
      </c>
      <c r="B313" s="14" t="s">
        <v>632</v>
      </c>
      <c r="C313" s="13">
        <v>761</v>
      </c>
      <c r="D313" s="7">
        <f>VLOOKUP(A313,'1227-29耗量'!$A$1:$C$602,3,FALSE)</f>
        <v>39</v>
      </c>
      <c r="E313" s="7">
        <f t="shared" si="8"/>
        <v>722</v>
      </c>
      <c r="F313" s="7" t="str">
        <f t="shared" si="9"/>
        <v>錯誤</v>
      </c>
      <c r="G313" s="7">
        <f>VLOOKUP(A313,Sheet5!$A$2:$D$415,4,FALSE)</f>
        <v>532</v>
      </c>
      <c r="H313" s="7">
        <f>VLOOKUP(A313,Sheet5!$A$2:$D$415,3,FALSE)</f>
        <v>1000</v>
      </c>
      <c r="I313" s="7">
        <f>VLOOKUP(A313,'1201-29周均耗用'!$A$1:$C$602,3,FALSE)</f>
        <v>201.2</v>
      </c>
    </row>
    <row r="314" spans="1:9">
      <c r="A314" s="13" t="s">
        <v>633</v>
      </c>
      <c r="B314" s="14" t="s">
        <v>634</v>
      </c>
      <c r="C314" s="13">
        <v>4</v>
      </c>
      <c r="D314" s="7">
        <f>IFERROR(VLOOKUP(A314,'1227-29耗量'!$A$1:$C$602,3,FALSE),0)</f>
        <v>6</v>
      </c>
      <c r="E314" s="7">
        <f t="shared" si="8"/>
        <v>-2</v>
      </c>
      <c r="F314" s="7" t="str">
        <f t="shared" si="9"/>
        <v>無資料</v>
      </c>
      <c r="G314" s="7" t="e">
        <f>VLOOKUP(A314,Sheet5!$A$2:$D$415,4,FALSE)</f>
        <v>#N/A</v>
      </c>
      <c r="H314" s="7" t="e">
        <f>VLOOKUP(A314,Sheet5!$A$2:$D$415,3,FALSE)</f>
        <v>#N/A</v>
      </c>
      <c r="I314" s="7">
        <f>VLOOKUP(A314,'1201-29周均耗用'!$A$1:$C$602,3,FALSE)</f>
        <v>19.5</v>
      </c>
    </row>
    <row r="315" spans="1:9">
      <c r="A315" s="13" t="s">
        <v>635</v>
      </c>
      <c r="B315" s="14" t="s">
        <v>636</v>
      </c>
      <c r="C315" s="13">
        <v>49</v>
      </c>
      <c r="D315" s="7">
        <f>IFERROR(VLOOKUP(A315,'1227-29耗量'!$A$1:$C$602,3,FALSE),0)</f>
        <v>0</v>
      </c>
      <c r="E315" s="7">
        <f t="shared" si="8"/>
        <v>49</v>
      </c>
      <c r="F315" s="7" t="str">
        <f t="shared" si="9"/>
        <v>無資料</v>
      </c>
      <c r="G315" s="7" t="e">
        <f>VLOOKUP(A315,Sheet5!$A$2:$D$415,4,FALSE)</f>
        <v>#N/A</v>
      </c>
      <c r="H315" s="7" t="e">
        <f>VLOOKUP(A315,Sheet5!$A$2:$D$415,3,FALSE)</f>
        <v>#N/A</v>
      </c>
      <c r="I315" s="7">
        <f>VLOOKUP(A315,'1201-29周均耗用'!$A$1:$C$602,3,FALSE)</f>
        <v>6.5</v>
      </c>
    </row>
    <row r="316" spans="1:9">
      <c r="A316" s="13" t="s">
        <v>637</v>
      </c>
      <c r="B316" s="14" t="s">
        <v>638</v>
      </c>
      <c r="C316" s="13">
        <v>444</v>
      </c>
      <c r="D316" s="7">
        <f>IFERROR(VLOOKUP(A316,'1227-29耗量'!$A$1:$C$602,3,FALSE),0)</f>
        <v>5</v>
      </c>
      <c r="E316" s="7">
        <f t="shared" si="8"/>
        <v>439</v>
      </c>
      <c r="F316" s="7" t="str">
        <f t="shared" si="9"/>
        <v>無資料</v>
      </c>
      <c r="G316" s="7" t="e">
        <f>VLOOKUP(A316,Sheet5!$A$2:$D$415,4,FALSE)</f>
        <v>#N/A</v>
      </c>
      <c r="H316" s="7" t="e">
        <f>VLOOKUP(A316,Sheet5!$A$2:$D$415,3,FALSE)</f>
        <v>#N/A</v>
      </c>
      <c r="I316" s="7">
        <f>VLOOKUP(A316,'1201-29周均耗用'!$A$1:$C$602,3,FALSE)</f>
        <v>95</v>
      </c>
    </row>
    <row r="317" spans="1:9">
      <c r="A317" s="13" t="s">
        <v>639</v>
      </c>
      <c r="B317" s="14" t="s">
        <v>640</v>
      </c>
      <c r="C317" s="13">
        <v>0</v>
      </c>
      <c r="D317" s="7">
        <f>IFERROR(VLOOKUP(A317,'1227-29耗量'!$A$1:$C$602,3,FALSE),0)</f>
        <v>0</v>
      </c>
      <c r="E317" s="7">
        <f t="shared" si="8"/>
        <v>0</v>
      </c>
      <c r="F317" s="7" t="str">
        <f t="shared" si="9"/>
        <v>無資料</v>
      </c>
      <c r="G317" s="7" t="e">
        <f>VLOOKUP(A317,Sheet5!$A$2:$D$415,4,FALSE)</f>
        <v>#N/A</v>
      </c>
      <c r="H317" s="7" t="e">
        <f>VLOOKUP(A317,Sheet5!$A$2:$D$415,3,FALSE)</f>
        <v>#N/A</v>
      </c>
      <c r="I317" s="7" t="e">
        <f>VLOOKUP(A317,'1201-29周均耗用'!$A$1:$C$602,3,FALSE)</f>
        <v>#N/A</v>
      </c>
    </row>
    <row r="318" spans="1:9">
      <c r="A318" s="13" t="s">
        <v>641</v>
      </c>
      <c r="B318" s="14" t="s">
        <v>642</v>
      </c>
      <c r="C318" s="13">
        <v>3</v>
      </c>
      <c r="D318" s="7">
        <f>IFERROR(VLOOKUP(A318,'1227-29耗量'!$A$1:$C$602,3,FALSE),0)</f>
        <v>0</v>
      </c>
      <c r="E318" s="7">
        <f t="shared" si="8"/>
        <v>3</v>
      </c>
      <c r="F318" s="7" t="str">
        <f t="shared" si="9"/>
        <v>無資料</v>
      </c>
      <c r="G318" s="7" t="e">
        <f>VLOOKUP(A318,Sheet5!$A$2:$D$415,4,FALSE)</f>
        <v>#N/A</v>
      </c>
      <c r="H318" s="7" t="e">
        <f>VLOOKUP(A318,Sheet5!$A$2:$D$415,3,FALSE)</f>
        <v>#N/A</v>
      </c>
      <c r="I318" s="7">
        <f>VLOOKUP(A318,'1201-29周均耗用'!$A$1:$C$602,3,FALSE)</f>
        <v>1.2</v>
      </c>
    </row>
    <row r="319" spans="1:9">
      <c r="A319" s="13" t="s">
        <v>643</v>
      </c>
      <c r="B319" s="14" t="s">
        <v>644</v>
      </c>
      <c r="C319" s="13">
        <v>295</v>
      </c>
      <c r="D319" s="7">
        <f>IFERROR(VLOOKUP(A319,'1227-29耗量'!$A$1:$C$602,3,FALSE),0)</f>
        <v>14</v>
      </c>
      <c r="E319" s="7">
        <f t="shared" si="8"/>
        <v>281</v>
      </c>
      <c r="F319" s="7" t="str">
        <f t="shared" si="9"/>
        <v>無資料</v>
      </c>
      <c r="G319" s="7" t="e">
        <f>VLOOKUP(A319,Sheet5!$A$2:$D$415,4,FALSE)</f>
        <v>#N/A</v>
      </c>
      <c r="H319" s="7" t="e">
        <f>VLOOKUP(A319,Sheet5!$A$2:$D$415,3,FALSE)</f>
        <v>#N/A</v>
      </c>
      <c r="I319" s="7">
        <f>VLOOKUP(A319,'1201-29周均耗用'!$A$1:$C$602,3,FALSE)</f>
        <v>101.8</v>
      </c>
    </row>
    <row r="320" spans="1:9">
      <c r="A320" s="13" t="s">
        <v>645</v>
      </c>
      <c r="B320" s="14" t="s">
        <v>646</v>
      </c>
      <c r="C320" s="13">
        <v>13</v>
      </c>
      <c r="D320" s="7">
        <f>VLOOKUP(A320,'1227-29耗量'!$A$1:$C$602,3,FALSE)</f>
        <v>1</v>
      </c>
      <c r="E320" s="7">
        <f t="shared" si="8"/>
        <v>12</v>
      </c>
      <c r="F320" s="7" t="str">
        <f t="shared" si="9"/>
        <v>錯誤</v>
      </c>
      <c r="G320" s="7">
        <f>VLOOKUP(A320,Sheet5!$A$2:$D$415,4,FALSE)</f>
        <v>9</v>
      </c>
      <c r="H320" s="7">
        <f>VLOOKUP(A320,Sheet5!$A$2:$D$415,3,FALSE)</f>
        <v>14</v>
      </c>
      <c r="I320" s="7" t="e">
        <f>VLOOKUP(A320,'1201-29周均耗用'!$A$1:$C$602,3,FALSE)</f>
        <v>#N/A</v>
      </c>
    </row>
    <row r="321" spans="1:9">
      <c r="A321" s="13" t="s">
        <v>647</v>
      </c>
      <c r="B321" s="14" t="s">
        <v>648</v>
      </c>
      <c r="C321" s="13">
        <v>77</v>
      </c>
      <c r="D321" s="7">
        <f>IFERROR(VLOOKUP(A321,'1227-29耗量'!$A$1:$C$602,3,FALSE),0)</f>
        <v>0</v>
      </c>
      <c r="E321" s="7">
        <f t="shared" si="8"/>
        <v>77</v>
      </c>
      <c r="F321" s="7" t="str">
        <f t="shared" si="9"/>
        <v>無資料</v>
      </c>
      <c r="G321" s="7" t="e">
        <f>VLOOKUP(A321,Sheet5!$A$2:$D$415,4,FALSE)</f>
        <v>#N/A</v>
      </c>
      <c r="H321" s="7" t="e">
        <f>VLOOKUP(A321,Sheet5!$A$2:$D$415,3,FALSE)</f>
        <v>#N/A</v>
      </c>
      <c r="I321" s="7">
        <f>VLOOKUP(A321,'1201-29周均耗用'!$A$1:$C$602,3,FALSE)</f>
        <v>9.8</v>
      </c>
    </row>
    <row r="322" spans="1:9">
      <c r="A322" s="13" t="s">
        <v>649</v>
      </c>
      <c r="B322" s="14" t="s">
        <v>650</v>
      </c>
      <c r="C322" s="13">
        <v>0</v>
      </c>
      <c r="D322" s="7">
        <f>IFERROR(VLOOKUP(A322,'1227-29耗量'!$A$1:$C$602,3,FALSE),0)</f>
        <v>0</v>
      </c>
      <c r="E322" s="7">
        <f t="shared" si="8"/>
        <v>0</v>
      </c>
      <c r="F322" s="7" t="str">
        <f t="shared" si="9"/>
        <v>無資料</v>
      </c>
      <c r="G322" s="7" t="e">
        <f>VLOOKUP(A322,Sheet5!$A$2:$D$415,4,FALSE)</f>
        <v>#N/A</v>
      </c>
      <c r="H322" s="7" t="e">
        <f>VLOOKUP(A322,Sheet5!$A$2:$D$415,3,FALSE)</f>
        <v>#N/A</v>
      </c>
      <c r="I322" s="7" t="e">
        <f>VLOOKUP(A322,'1201-29周均耗用'!$A$1:$C$602,3,FALSE)</f>
        <v>#N/A</v>
      </c>
    </row>
    <row r="323" spans="1:9">
      <c r="A323" s="13" t="s">
        <v>651</v>
      </c>
      <c r="B323" s="14" t="s">
        <v>652</v>
      </c>
      <c r="C323" s="13">
        <v>17</v>
      </c>
      <c r="D323" s="7">
        <f>IFERROR(VLOOKUP(A323,'1227-29耗量'!$A$1:$C$602,3,FALSE),0)</f>
        <v>0</v>
      </c>
      <c r="E323" s="7">
        <f t="shared" ref="E323:E386" si="10">C323-D323</f>
        <v>17</v>
      </c>
      <c r="F323" s="7" t="str">
        <f t="shared" ref="F323:F386" si="11">IFERROR(IF(E323=G323,"OK","錯誤"),"無資料")</f>
        <v>無資料</v>
      </c>
      <c r="G323" s="7" t="e">
        <f>VLOOKUP(A323,Sheet5!$A$2:$D$415,4,FALSE)</f>
        <v>#N/A</v>
      </c>
      <c r="H323" s="7" t="e">
        <f>VLOOKUP(A323,Sheet5!$A$2:$D$415,3,FALSE)</f>
        <v>#N/A</v>
      </c>
      <c r="I323" s="7" t="e">
        <f>VLOOKUP(A323,'1201-29周均耗用'!$A$1:$C$602,3,FALSE)</f>
        <v>#N/A</v>
      </c>
    </row>
    <row r="324" spans="1:9">
      <c r="A324" s="13" t="s">
        <v>653</v>
      </c>
      <c r="B324" s="14" t="s">
        <v>654</v>
      </c>
      <c r="C324" s="13">
        <v>541</v>
      </c>
      <c r="D324" s="7">
        <f>IFERROR(VLOOKUP(A324,'1227-29耗量'!$A$1:$C$602,3,FALSE),0)</f>
        <v>0</v>
      </c>
      <c r="E324" s="7">
        <f t="shared" si="10"/>
        <v>541</v>
      </c>
      <c r="F324" s="7" t="str">
        <f t="shared" si="11"/>
        <v>無資料</v>
      </c>
      <c r="G324" s="7" t="e">
        <f>VLOOKUP(A324,Sheet5!$A$2:$D$415,4,FALSE)</f>
        <v>#N/A</v>
      </c>
      <c r="H324" s="7" t="e">
        <f>VLOOKUP(A324,Sheet5!$A$2:$D$415,3,FALSE)</f>
        <v>#N/A</v>
      </c>
      <c r="I324" s="7">
        <f>VLOOKUP(A324,'1201-29周均耗用'!$A$1:$C$602,3,FALSE)</f>
        <v>17</v>
      </c>
    </row>
    <row r="325" spans="1:9">
      <c r="A325" s="13" t="s">
        <v>655</v>
      </c>
      <c r="B325" s="14" t="s">
        <v>656</v>
      </c>
      <c r="C325" s="13">
        <v>1597</v>
      </c>
      <c r="D325" s="7">
        <f>VLOOKUP(A325,'1227-29耗量'!$A$1:$C$602,3,FALSE)</f>
        <v>52</v>
      </c>
      <c r="E325" s="7">
        <f t="shared" si="10"/>
        <v>1545</v>
      </c>
      <c r="F325" s="7" t="str">
        <f t="shared" si="11"/>
        <v>錯誤</v>
      </c>
      <c r="G325" s="7">
        <f>VLOOKUP(A325,Sheet5!$A$2:$D$415,4,FALSE)</f>
        <v>716</v>
      </c>
      <c r="H325" s="7">
        <f>VLOOKUP(A325,Sheet5!$A$2:$D$415,3,FALSE)</f>
        <v>1000</v>
      </c>
      <c r="I325" s="7">
        <f>VLOOKUP(A325,'1201-29周均耗用'!$A$1:$C$602,3,FALSE)</f>
        <v>290.8</v>
      </c>
    </row>
    <row r="326" spans="1:9">
      <c r="A326" s="13" t="s">
        <v>657</v>
      </c>
      <c r="B326" s="14" t="s">
        <v>658</v>
      </c>
      <c r="C326" s="13">
        <v>1318</v>
      </c>
      <c r="D326" s="7">
        <f>VLOOKUP(A326,'1227-29耗量'!$A$1:$C$602,3,FALSE)</f>
        <v>53</v>
      </c>
      <c r="E326" s="7">
        <f t="shared" si="10"/>
        <v>1265</v>
      </c>
      <c r="F326" s="7" t="str">
        <f t="shared" si="11"/>
        <v>錯誤</v>
      </c>
      <c r="G326" s="7">
        <f>VLOOKUP(A326,Sheet5!$A$2:$D$415,4,FALSE)</f>
        <v>886</v>
      </c>
      <c r="H326" s="7">
        <f>VLOOKUP(A326,Sheet5!$A$2:$D$415,3,FALSE)</f>
        <v>672</v>
      </c>
      <c r="I326" s="7">
        <f>VLOOKUP(A326,'1201-29周均耗用'!$A$1:$C$602,3,FALSE)</f>
        <v>346.5</v>
      </c>
    </row>
    <row r="327" spans="1:9">
      <c r="A327" s="13" t="s">
        <v>659</v>
      </c>
      <c r="B327" s="14" t="s">
        <v>660</v>
      </c>
      <c r="C327" s="13">
        <v>855</v>
      </c>
      <c r="D327" s="7">
        <f>IFERROR(VLOOKUP(A327,'1227-29耗量'!$A$1:$C$602,3,FALSE),0)</f>
        <v>48</v>
      </c>
      <c r="E327" s="7">
        <f t="shared" si="10"/>
        <v>807</v>
      </c>
      <c r="F327" s="7" t="str">
        <f t="shared" si="11"/>
        <v>無資料</v>
      </c>
      <c r="G327" s="7" t="e">
        <f>VLOOKUP(A327,Sheet5!$A$2:$D$415,4,FALSE)</f>
        <v>#N/A</v>
      </c>
      <c r="H327" s="7" t="e">
        <f>VLOOKUP(A327,Sheet5!$A$2:$D$415,3,FALSE)</f>
        <v>#N/A</v>
      </c>
      <c r="I327" s="7">
        <f>VLOOKUP(A327,'1201-29周均耗用'!$A$1:$C$602,3,FALSE)</f>
        <v>61.5</v>
      </c>
    </row>
    <row r="328" spans="1:9">
      <c r="A328" s="13" t="s">
        <v>661</v>
      </c>
      <c r="B328" s="14" t="s">
        <v>662</v>
      </c>
      <c r="C328" s="13">
        <v>1431</v>
      </c>
      <c r="D328" s="7">
        <f>VLOOKUP(A328,'1227-29耗量'!$A$1:$C$602,3,FALSE)</f>
        <v>79</v>
      </c>
      <c r="E328" s="7">
        <f t="shared" si="10"/>
        <v>1352</v>
      </c>
      <c r="F328" s="7" t="str">
        <f t="shared" si="11"/>
        <v>錯誤</v>
      </c>
      <c r="G328" s="7">
        <f>VLOOKUP(A328,Sheet5!$A$2:$D$415,4,FALSE)</f>
        <v>551</v>
      </c>
      <c r="H328" s="7">
        <f>VLOOKUP(A328,Sheet5!$A$2:$D$415,3,FALSE)</f>
        <v>2000</v>
      </c>
      <c r="I328" s="7">
        <f>VLOOKUP(A328,'1201-29周均耗用'!$A$1:$C$602,3,FALSE)</f>
        <v>428</v>
      </c>
    </row>
    <row r="329" spans="1:9">
      <c r="A329" s="13" t="s">
        <v>663</v>
      </c>
      <c r="B329" s="14" t="s">
        <v>664</v>
      </c>
      <c r="C329" s="13">
        <v>16</v>
      </c>
      <c r="D329" s="7">
        <f>IFERROR(VLOOKUP(A329,'1227-29耗量'!$A$1:$C$602,3,FALSE),0)</f>
        <v>0</v>
      </c>
      <c r="E329" s="7">
        <f t="shared" si="10"/>
        <v>16</v>
      </c>
      <c r="F329" s="7" t="str">
        <f t="shared" si="11"/>
        <v>錯誤</v>
      </c>
      <c r="G329" s="7">
        <f>VLOOKUP(A329,Sheet5!$A$2:$D$415,4,FALSE)</f>
        <v>7</v>
      </c>
      <c r="H329" s="7">
        <f>VLOOKUP(A329,Sheet5!$A$2:$D$415,3,FALSE)</f>
        <v>20</v>
      </c>
      <c r="I329" s="7">
        <f>VLOOKUP(A329,'1201-29周均耗用'!$A$1:$C$602,3,FALSE)</f>
        <v>4.8</v>
      </c>
    </row>
    <row r="330" spans="1:9">
      <c r="A330" s="13" t="s">
        <v>665</v>
      </c>
      <c r="B330" s="14" t="s">
        <v>666</v>
      </c>
      <c r="C330" s="13">
        <v>0</v>
      </c>
      <c r="D330" s="7">
        <f>IFERROR(VLOOKUP(A330,'1227-29耗量'!$A$1:$C$602,3,FALSE),0)</f>
        <v>0</v>
      </c>
      <c r="E330" s="7">
        <f t="shared" si="10"/>
        <v>0</v>
      </c>
      <c r="F330" s="7" t="str">
        <f t="shared" si="11"/>
        <v>無資料</v>
      </c>
      <c r="G330" s="7" t="e">
        <f>VLOOKUP(A330,Sheet5!$A$2:$D$415,4,FALSE)</f>
        <v>#N/A</v>
      </c>
      <c r="H330" s="7" t="e">
        <f>VLOOKUP(A330,Sheet5!$A$2:$D$415,3,FALSE)</f>
        <v>#N/A</v>
      </c>
      <c r="I330" s="7" t="e">
        <f>VLOOKUP(A330,'1201-29周均耗用'!$A$1:$C$602,3,FALSE)</f>
        <v>#N/A</v>
      </c>
    </row>
    <row r="331" spans="1:9">
      <c r="A331" s="13" t="s">
        <v>667</v>
      </c>
      <c r="B331" s="14" t="s">
        <v>668</v>
      </c>
      <c r="C331" s="13">
        <v>537</v>
      </c>
      <c r="D331" s="7">
        <f>VLOOKUP(A331,'1227-29耗量'!$A$1:$C$602,3,FALSE)</f>
        <v>41</v>
      </c>
      <c r="E331" s="7">
        <f t="shared" si="10"/>
        <v>496</v>
      </c>
      <c r="F331" s="7" t="str">
        <f t="shared" si="11"/>
        <v>錯誤</v>
      </c>
      <c r="G331" s="7">
        <f>VLOOKUP(A331,Sheet5!$A$2:$D$415,4,FALSE)</f>
        <v>485</v>
      </c>
      <c r="H331" s="7">
        <f>VLOOKUP(A331,Sheet5!$A$2:$D$415,3,FALSE)</f>
        <v>600</v>
      </c>
      <c r="I331" s="7">
        <f>VLOOKUP(A331,'1201-29周均耗用'!$A$1:$C$602,3,FALSE)</f>
        <v>168.8</v>
      </c>
    </row>
    <row r="332" spans="1:9">
      <c r="A332" s="13" t="s">
        <v>669</v>
      </c>
      <c r="B332" s="14" t="s">
        <v>670</v>
      </c>
      <c r="C332" s="13">
        <v>1</v>
      </c>
      <c r="D332" s="7">
        <f>IFERROR(VLOOKUP(A332,'1227-29耗量'!$A$1:$C$602,3,FALSE),0)</f>
        <v>0</v>
      </c>
      <c r="E332" s="7">
        <f t="shared" si="10"/>
        <v>1</v>
      </c>
      <c r="F332" s="7" t="str">
        <f t="shared" si="11"/>
        <v>無資料</v>
      </c>
      <c r="G332" s="7" t="e">
        <f>VLOOKUP(A332,Sheet5!$A$2:$D$415,4,FALSE)</f>
        <v>#N/A</v>
      </c>
      <c r="H332" s="7" t="e">
        <f>VLOOKUP(A332,Sheet5!$A$2:$D$415,3,FALSE)</f>
        <v>#N/A</v>
      </c>
      <c r="I332" s="7" t="e">
        <f>VLOOKUP(A332,'1201-29周均耗用'!$A$1:$C$602,3,FALSE)</f>
        <v>#N/A</v>
      </c>
    </row>
    <row r="333" spans="1:9">
      <c r="A333" s="13" t="s">
        <v>671</v>
      </c>
      <c r="B333" s="14" t="s">
        <v>672</v>
      </c>
      <c r="C333" s="13">
        <v>180</v>
      </c>
      <c r="D333" s="7">
        <f>IFERROR(VLOOKUP(A333,'1227-29耗量'!$A$1:$C$602,3,FALSE),0)</f>
        <v>1</v>
      </c>
      <c r="E333" s="7">
        <f t="shared" si="10"/>
        <v>179</v>
      </c>
      <c r="F333" s="7" t="str">
        <f t="shared" si="11"/>
        <v>無資料</v>
      </c>
      <c r="G333" s="7" t="e">
        <f>VLOOKUP(A333,Sheet5!$A$2:$D$415,4,FALSE)</f>
        <v>#N/A</v>
      </c>
      <c r="H333" s="7" t="e">
        <f>VLOOKUP(A333,Sheet5!$A$2:$D$415,3,FALSE)</f>
        <v>#N/A</v>
      </c>
      <c r="I333" s="7">
        <f>VLOOKUP(A333,'1201-29周均耗用'!$A$1:$C$602,3,FALSE)</f>
        <v>11.8</v>
      </c>
    </row>
    <row r="334" spans="1:9">
      <c r="A334" s="13" t="s">
        <v>673</v>
      </c>
      <c r="B334" s="14" t="s">
        <v>674</v>
      </c>
      <c r="C334" s="13">
        <v>0</v>
      </c>
      <c r="D334" s="7">
        <f>IFERROR(VLOOKUP(A334,'1227-29耗量'!$A$1:$C$602,3,FALSE),0)</f>
        <v>0</v>
      </c>
      <c r="E334" s="7">
        <f t="shared" si="10"/>
        <v>0</v>
      </c>
      <c r="F334" s="7" t="str">
        <f t="shared" si="11"/>
        <v>無資料</v>
      </c>
      <c r="G334" s="7" t="e">
        <f>VLOOKUP(A334,Sheet5!$A$2:$D$415,4,FALSE)</f>
        <v>#N/A</v>
      </c>
      <c r="H334" s="7" t="e">
        <f>VLOOKUP(A334,Sheet5!$A$2:$D$415,3,FALSE)</f>
        <v>#N/A</v>
      </c>
      <c r="I334" s="7" t="e">
        <f>VLOOKUP(A334,'1201-29周均耗用'!$A$1:$C$602,3,FALSE)</f>
        <v>#N/A</v>
      </c>
    </row>
    <row r="335" spans="1:9">
      <c r="A335" s="13" t="s">
        <v>675</v>
      </c>
      <c r="B335" s="14" t="s">
        <v>676</v>
      </c>
      <c r="C335" s="13">
        <v>3</v>
      </c>
      <c r="D335" s="7">
        <f>IFERROR(VLOOKUP(A335,'1227-29耗量'!$A$1:$C$602,3,FALSE),0)</f>
        <v>1</v>
      </c>
      <c r="E335" s="7">
        <f t="shared" si="10"/>
        <v>2</v>
      </c>
      <c r="F335" s="7" t="str">
        <f t="shared" si="11"/>
        <v>無資料</v>
      </c>
      <c r="G335" s="7" t="e">
        <f>VLOOKUP(A335,Sheet5!$A$2:$D$415,4,FALSE)</f>
        <v>#N/A</v>
      </c>
      <c r="H335" s="7" t="e">
        <f>VLOOKUP(A335,Sheet5!$A$2:$D$415,3,FALSE)</f>
        <v>#N/A</v>
      </c>
      <c r="I335" s="7">
        <f>VLOOKUP(A335,'1201-29周均耗用'!$A$1:$C$602,3,FALSE)</f>
        <v>5.8</v>
      </c>
    </row>
    <row r="336" spans="1:9">
      <c r="A336" s="13" t="s">
        <v>677</v>
      </c>
      <c r="B336" s="14" t="s">
        <v>678</v>
      </c>
      <c r="C336" s="13">
        <v>121</v>
      </c>
      <c r="D336" s="7">
        <f>IFERROR(VLOOKUP(A336,'1227-29耗量'!$A$1:$C$602,3,FALSE),0)</f>
        <v>4</v>
      </c>
      <c r="E336" s="7">
        <f t="shared" si="10"/>
        <v>117</v>
      </c>
      <c r="F336" s="7" t="str">
        <f t="shared" si="11"/>
        <v>無資料</v>
      </c>
      <c r="G336" s="7" t="e">
        <f>VLOOKUP(A336,Sheet5!$A$2:$D$415,4,FALSE)</f>
        <v>#N/A</v>
      </c>
      <c r="H336" s="7" t="e">
        <f>VLOOKUP(A336,Sheet5!$A$2:$D$415,3,FALSE)</f>
        <v>#N/A</v>
      </c>
      <c r="I336" s="7">
        <f>VLOOKUP(A336,'1201-29周均耗用'!$A$1:$C$602,3,FALSE)</f>
        <v>19.2</v>
      </c>
    </row>
    <row r="337" spans="1:9">
      <c r="A337" s="13" t="s">
        <v>679</v>
      </c>
      <c r="B337" s="14" t="s">
        <v>680</v>
      </c>
      <c r="C337" s="13">
        <v>521</v>
      </c>
      <c r="D337" s="7">
        <f>VLOOKUP(A337,'1227-29耗量'!$A$1:$C$602,3,FALSE)</f>
        <v>33</v>
      </c>
      <c r="E337" s="7">
        <f t="shared" si="10"/>
        <v>488</v>
      </c>
      <c r="F337" s="7" t="str">
        <f t="shared" si="11"/>
        <v>錯誤</v>
      </c>
      <c r="G337" s="7">
        <f>VLOOKUP(A337,Sheet5!$A$2:$D$415,4,FALSE)</f>
        <v>398</v>
      </c>
      <c r="H337" s="7">
        <f>VLOOKUP(A337,Sheet5!$A$2:$D$415,3,FALSE)</f>
        <v>1200</v>
      </c>
      <c r="I337" s="7">
        <f>VLOOKUP(A337,'1201-29周均耗用'!$A$1:$C$602,3,FALSE)</f>
        <v>304.2</v>
      </c>
    </row>
    <row r="338" spans="1:9">
      <c r="A338" s="13" t="s">
        <v>681</v>
      </c>
      <c r="B338" s="14" t="s">
        <v>682</v>
      </c>
      <c r="C338" s="13">
        <v>108</v>
      </c>
      <c r="D338" s="7">
        <f>IFERROR(VLOOKUP(A338,'1227-29耗量'!$A$1:$C$602,3,FALSE),0)</f>
        <v>2</v>
      </c>
      <c r="E338" s="7">
        <f t="shared" si="10"/>
        <v>106</v>
      </c>
      <c r="F338" s="7" t="str">
        <f t="shared" si="11"/>
        <v>無資料</v>
      </c>
      <c r="G338" s="7" t="e">
        <f>VLOOKUP(A338,Sheet5!$A$2:$D$415,4,FALSE)</f>
        <v>#N/A</v>
      </c>
      <c r="H338" s="7" t="e">
        <f>VLOOKUP(A338,Sheet5!$A$2:$D$415,3,FALSE)</f>
        <v>#N/A</v>
      </c>
      <c r="I338" s="7">
        <f>VLOOKUP(A338,'1201-29周均耗用'!$A$1:$C$602,3,FALSE)</f>
        <v>31</v>
      </c>
    </row>
    <row r="339" spans="1:9">
      <c r="A339" s="13" t="s">
        <v>683</v>
      </c>
      <c r="B339" s="14" t="s">
        <v>684</v>
      </c>
      <c r="C339" s="13">
        <v>1797</v>
      </c>
      <c r="D339" s="7">
        <f>IFERROR(VLOOKUP(A339,'1227-29耗量'!$A$1:$C$602,3,FALSE),0)</f>
        <v>38</v>
      </c>
      <c r="E339" s="7">
        <f t="shared" si="10"/>
        <v>1759</v>
      </c>
      <c r="F339" s="7" t="str">
        <f t="shared" si="11"/>
        <v>無資料</v>
      </c>
      <c r="G339" s="7" t="e">
        <f>VLOOKUP(A339,Sheet5!$A$2:$D$415,4,FALSE)</f>
        <v>#N/A</v>
      </c>
      <c r="H339" s="7" t="e">
        <f>VLOOKUP(A339,Sheet5!$A$2:$D$415,3,FALSE)</f>
        <v>#N/A</v>
      </c>
      <c r="I339" s="7">
        <f>VLOOKUP(A339,'1201-29周均耗用'!$A$1:$C$602,3,FALSE)</f>
        <v>413</v>
      </c>
    </row>
    <row r="340" spans="1:9">
      <c r="A340" s="13" t="s">
        <v>685</v>
      </c>
      <c r="B340" s="14" t="s">
        <v>686</v>
      </c>
      <c r="C340" s="13">
        <v>73</v>
      </c>
      <c r="D340" s="7">
        <f>IFERROR(VLOOKUP(A340,'1227-29耗量'!$A$1:$C$602,3,FALSE),0)</f>
        <v>3</v>
      </c>
      <c r="E340" s="7">
        <f t="shared" si="10"/>
        <v>70</v>
      </c>
      <c r="F340" s="7" t="str">
        <f t="shared" si="11"/>
        <v>無資料</v>
      </c>
      <c r="G340" s="7" t="e">
        <f>VLOOKUP(A340,Sheet5!$A$2:$D$415,4,FALSE)</f>
        <v>#N/A</v>
      </c>
      <c r="H340" s="7" t="e">
        <f>VLOOKUP(A340,Sheet5!$A$2:$D$415,3,FALSE)</f>
        <v>#N/A</v>
      </c>
      <c r="I340" s="7">
        <f>VLOOKUP(A340,'1201-29周均耗用'!$A$1:$C$602,3,FALSE)</f>
        <v>8.2</v>
      </c>
    </row>
    <row r="341" spans="1:9">
      <c r="A341" s="13" t="s">
        <v>687</v>
      </c>
      <c r="B341" s="14" t="s">
        <v>688</v>
      </c>
      <c r="C341" s="13">
        <v>1330</v>
      </c>
      <c r="D341" s="7">
        <f>VLOOKUP(A341,'1227-29耗量'!$A$1:$C$602,3,FALSE)</f>
        <v>4</v>
      </c>
      <c r="E341" s="7">
        <f t="shared" si="10"/>
        <v>1326</v>
      </c>
      <c r="F341" s="7" t="str">
        <f t="shared" si="11"/>
        <v>錯誤</v>
      </c>
      <c r="G341" s="7">
        <f>VLOOKUP(A341,Sheet5!$A$2:$D$415,4,FALSE)</f>
        <v>294</v>
      </c>
      <c r="H341" s="7">
        <f>VLOOKUP(A341,Sheet5!$A$2:$D$415,3,FALSE)</f>
        <v>1000</v>
      </c>
      <c r="I341" s="7">
        <f>VLOOKUP(A341,'1201-29周均耗用'!$A$1:$C$602,3,FALSE)</f>
        <v>93</v>
      </c>
    </row>
    <row r="342" spans="1:9">
      <c r="A342" s="13" t="s">
        <v>689</v>
      </c>
      <c r="B342" s="14" t="s">
        <v>690</v>
      </c>
      <c r="C342" s="13">
        <v>13</v>
      </c>
      <c r="D342" s="7">
        <f>IFERROR(VLOOKUP(A342,'1227-29耗量'!$A$1:$C$602,3,FALSE),0)</f>
        <v>0</v>
      </c>
      <c r="E342" s="7">
        <f t="shared" si="10"/>
        <v>13</v>
      </c>
      <c r="F342" s="7" t="str">
        <f t="shared" si="11"/>
        <v>無資料</v>
      </c>
      <c r="G342" s="7" t="e">
        <f>VLOOKUP(A342,Sheet5!$A$2:$D$415,4,FALSE)</f>
        <v>#N/A</v>
      </c>
      <c r="H342" s="7" t="e">
        <f>VLOOKUP(A342,Sheet5!$A$2:$D$415,3,FALSE)</f>
        <v>#N/A</v>
      </c>
      <c r="I342" s="7">
        <f>VLOOKUP(A342,'1201-29周均耗用'!$A$1:$C$602,3,FALSE)</f>
        <v>2</v>
      </c>
    </row>
    <row r="343" spans="1:9">
      <c r="A343" s="13" t="s">
        <v>691</v>
      </c>
      <c r="B343" s="14" t="s">
        <v>692</v>
      </c>
      <c r="C343" s="13">
        <v>1285</v>
      </c>
      <c r="D343" s="7">
        <f>VLOOKUP(A343,'1227-29耗量'!$A$1:$C$602,3,FALSE)</f>
        <v>57</v>
      </c>
      <c r="E343" s="7">
        <f t="shared" si="10"/>
        <v>1228</v>
      </c>
      <c r="F343" s="7" t="str">
        <f t="shared" si="11"/>
        <v>錯誤</v>
      </c>
      <c r="G343" s="7">
        <f>VLOOKUP(A343,Sheet5!$A$2:$D$415,4,FALSE)</f>
        <v>448</v>
      </c>
      <c r="H343" s="7">
        <f>VLOOKUP(A343,Sheet5!$A$2:$D$415,3,FALSE)</f>
        <v>1600</v>
      </c>
      <c r="I343" s="7">
        <f>VLOOKUP(A343,'1201-29周均耗用'!$A$1:$C$602,3,FALSE)</f>
        <v>343.2</v>
      </c>
    </row>
    <row r="344" spans="1:9">
      <c r="A344" s="13" t="s">
        <v>693</v>
      </c>
      <c r="B344" s="14" t="s">
        <v>694</v>
      </c>
      <c r="C344" s="13">
        <v>1822</v>
      </c>
      <c r="D344" s="7">
        <f>VLOOKUP(A344,'1227-29耗量'!$A$1:$C$602,3,FALSE)</f>
        <v>58</v>
      </c>
      <c r="E344" s="7">
        <f t="shared" si="10"/>
        <v>1764</v>
      </c>
      <c r="F344" s="7" t="str">
        <f t="shared" si="11"/>
        <v>錯誤</v>
      </c>
      <c r="G344" s="7">
        <f>VLOOKUP(A344,Sheet5!$A$2:$D$415,4,FALSE)</f>
        <v>-32</v>
      </c>
      <c r="H344" s="7">
        <f>VLOOKUP(A344,Sheet5!$A$2:$D$415,3,FALSE)</f>
        <v>1000</v>
      </c>
      <c r="I344" s="7">
        <f>VLOOKUP(A344,'1201-29周均耗用'!$A$1:$C$602,3,FALSE)</f>
        <v>309.5</v>
      </c>
    </row>
    <row r="345" spans="1:9">
      <c r="A345" s="13" t="s">
        <v>695</v>
      </c>
      <c r="B345" s="14" t="s">
        <v>696</v>
      </c>
      <c r="C345" s="13">
        <v>477</v>
      </c>
      <c r="D345" s="7">
        <f>VLOOKUP(A345,'1227-29耗量'!$A$1:$C$602,3,FALSE)</f>
        <v>41</v>
      </c>
      <c r="E345" s="7">
        <f t="shared" si="10"/>
        <v>436</v>
      </c>
      <c r="F345" s="7" t="str">
        <f t="shared" si="11"/>
        <v>錯誤</v>
      </c>
      <c r="G345" s="7">
        <f>VLOOKUP(A345,Sheet5!$A$2:$D$415,4,FALSE)</f>
        <v>184</v>
      </c>
      <c r="H345" s="7">
        <f>VLOOKUP(A345,Sheet5!$A$2:$D$415,3,FALSE)</f>
        <v>840</v>
      </c>
      <c r="I345" s="7">
        <f>VLOOKUP(A345,'1201-29周均耗用'!$A$1:$C$602,3,FALSE)</f>
        <v>249.8</v>
      </c>
    </row>
    <row r="346" spans="1:9">
      <c r="A346" s="13" t="s">
        <v>697</v>
      </c>
      <c r="B346" s="14" t="s">
        <v>698</v>
      </c>
      <c r="C346" s="13">
        <v>625</v>
      </c>
      <c r="D346" s="7">
        <f>IFERROR(VLOOKUP(A346,'1227-29耗量'!$A$1:$C$602,3,FALSE),0)</f>
        <v>0</v>
      </c>
      <c r="E346" s="7">
        <f t="shared" si="10"/>
        <v>625</v>
      </c>
      <c r="F346" s="7" t="str">
        <f t="shared" si="11"/>
        <v>無資料</v>
      </c>
      <c r="G346" s="7" t="e">
        <f>VLOOKUP(A346,Sheet5!$A$2:$D$415,4,FALSE)</f>
        <v>#N/A</v>
      </c>
      <c r="H346" s="7" t="e">
        <f>VLOOKUP(A346,Sheet5!$A$2:$D$415,3,FALSE)</f>
        <v>#N/A</v>
      </c>
      <c r="I346" s="7">
        <f>VLOOKUP(A346,'1201-29周均耗用'!$A$1:$C$602,3,FALSE)</f>
        <v>3.5</v>
      </c>
    </row>
    <row r="347" spans="1:9">
      <c r="A347" s="13" t="s">
        <v>699</v>
      </c>
      <c r="B347" s="14" t="s">
        <v>700</v>
      </c>
      <c r="C347" s="13">
        <v>42</v>
      </c>
      <c r="D347" s="7">
        <f>IFERROR(VLOOKUP(A347,'1227-29耗量'!$A$1:$C$602,3,FALSE),0)</f>
        <v>0</v>
      </c>
      <c r="E347" s="7">
        <f t="shared" si="10"/>
        <v>42</v>
      </c>
      <c r="F347" s="7" t="str">
        <f t="shared" si="11"/>
        <v>錯誤</v>
      </c>
      <c r="G347" s="7">
        <f>VLOOKUP(A347,Sheet5!$A$2:$D$415,4,FALSE)</f>
        <v>25</v>
      </c>
      <c r="H347" s="7">
        <f>VLOOKUP(A347,Sheet5!$A$2:$D$415,3,FALSE)</f>
        <v>30</v>
      </c>
      <c r="I347" s="7" t="e">
        <f>VLOOKUP(A347,'1201-29周均耗用'!$A$1:$C$602,3,FALSE)</f>
        <v>#N/A</v>
      </c>
    </row>
    <row r="348" spans="1:9">
      <c r="A348" s="13" t="s">
        <v>701</v>
      </c>
      <c r="B348" s="14" t="s">
        <v>702</v>
      </c>
      <c r="C348" s="13">
        <v>0</v>
      </c>
      <c r="D348" s="7">
        <f>IFERROR(VLOOKUP(A348,'1227-29耗量'!$A$1:$C$602,3,FALSE),0)</f>
        <v>0</v>
      </c>
      <c r="E348" s="7">
        <f t="shared" si="10"/>
        <v>0</v>
      </c>
      <c r="F348" s="7" t="str">
        <f t="shared" si="11"/>
        <v>無資料</v>
      </c>
      <c r="G348" s="7" t="e">
        <f>VLOOKUP(A348,Sheet5!$A$2:$D$415,4,FALSE)</f>
        <v>#N/A</v>
      </c>
      <c r="H348" s="7" t="e">
        <f>VLOOKUP(A348,Sheet5!$A$2:$D$415,3,FALSE)</f>
        <v>#N/A</v>
      </c>
      <c r="I348" s="7" t="e">
        <f>VLOOKUP(A348,'1201-29周均耗用'!$A$1:$C$602,3,FALSE)</f>
        <v>#N/A</v>
      </c>
    </row>
    <row r="349" spans="1:9">
      <c r="A349" s="13" t="s">
        <v>703</v>
      </c>
      <c r="B349" s="14" t="s">
        <v>704</v>
      </c>
      <c r="C349" s="13">
        <v>1</v>
      </c>
      <c r="D349" s="7">
        <f>IFERROR(VLOOKUP(A349,'1227-29耗量'!$A$1:$C$602,3,FALSE),0)</f>
        <v>0</v>
      </c>
      <c r="E349" s="7">
        <f t="shared" si="10"/>
        <v>1</v>
      </c>
      <c r="F349" s="7" t="str">
        <f t="shared" si="11"/>
        <v>無資料</v>
      </c>
      <c r="G349" s="7" t="e">
        <f>VLOOKUP(A349,Sheet5!$A$2:$D$415,4,FALSE)</f>
        <v>#N/A</v>
      </c>
      <c r="H349" s="7" t="e">
        <f>VLOOKUP(A349,Sheet5!$A$2:$D$415,3,FALSE)</f>
        <v>#N/A</v>
      </c>
      <c r="I349" s="7" t="e">
        <f>VLOOKUP(A349,'1201-29周均耗用'!$A$1:$C$602,3,FALSE)</f>
        <v>#N/A</v>
      </c>
    </row>
    <row r="350" spans="1:9">
      <c r="A350" s="13" t="s">
        <v>705</v>
      </c>
      <c r="B350" s="14" t="s">
        <v>706</v>
      </c>
      <c r="C350" s="13">
        <v>1</v>
      </c>
      <c r="D350" s="7">
        <f>IFERROR(VLOOKUP(A350,'1227-29耗量'!$A$1:$C$602,3,FALSE),0)</f>
        <v>0</v>
      </c>
      <c r="E350" s="7">
        <f t="shared" si="10"/>
        <v>1</v>
      </c>
      <c r="F350" s="7" t="str">
        <f t="shared" si="11"/>
        <v>無資料</v>
      </c>
      <c r="G350" s="7" t="e">
        <f>VLOOKUP(A350,Sheet5!$A$2:$D$415,4,FALSE)</f>
        <v>#N/A</v>
      </c>
      <c r="H350" s="7" t="e">
        <f>VLOOKUP(A350,Sheet5!$A$2:$D$415,3,FALSE)</f>
        <v>#N/A</v>
      </c>
      <c r="I350" s="7" t="e">
        <f>VLOOKUP(A350,'1201-29周均耗用'!$A$1:$C$602,3,FALSE)</f>
        <v>#N/A</v>
      </c>
    </row>
    <row r="351" spans="1:9">
      <c r="A351" s="13" t="s">
        <v>707</v>
      </c>
      <c r="B351" s="14" t="s">
        <v>708</v>
      </c>
      <c r="C351" s="13">
        <v>21</v>
      </c>
      <c r="D351" s="7">
        <f>IFERROR(VLOOKUP(A351,'1227-29耗量'!$A$1:$C$602,3,FALSE),0)</f>
        <v>1</v>
      </c>
      <c r="E351" s="7">
        <f t="shared" si="10"/>
        <v>20</v>
      </c>
      <c r="F351" s="7" t="str">
        <f t="shared" si="11"/>
        <v>無資料</v>
      </c>
      <c r="G351" s="7" t="e">
        <f>VLOOKUP(A351,Sheet5!$A$2:$D$415,4,FALSE)</f>
        <v>#N/A</v>
      </c>
      <c r="H351" s="7" t="e">
        <f>VLOOKUP(A351,Sheet5!$A$2:$D$415,3,FALSE)</f>
        <v>#N/A</v>
      </c>
      <c r="I351" s="7">
        <f>VLOOKUP(A351,'1201-29周均耗用'!$A$1:$C$602,3,FALSE)</f>
        <v>13.5</v>
      </c>
    </row>
    <row r="352" spans="1:9">
      <c r="A352" s="13" t="s">
        <v>709</v>
      </c>
      <c r="B352" s="14" t="s">
        <v>710</v>
      </c>
      <c r="C352" s="13">
        <v>4</v>
      </c>
      <c r="D352" s="7">
        <f>VLOOKUP(A352,'1227-29耗量'!$A$1:$C$602,3,FALSE)</f>
        <v>6</v>
      </c>
      <c r="E352" s="7">
        <f t="shared" si="10"/>
        <v>-2</v>
      </c>
      <c r="F352" s="7" t="str">
        <f t="shared" si="11"/>
        <v>錯誤</v>
      </c>
      <c r="G352" s="7">
        <f>VLOOKUP(A352,Sheet5!$A$2:$D$415,4,FALSE)</f>
        <v>3</v>
      </c>
      <c r="H352" s="7">
        <f>VLOOKUP(A352,Sheet5!$A$2:$D$415,3,FALSE)</f>
        <v>20</v>
      </c>
      <c r="I352" s="7">
        <f>VLOOKUP(A352,'1201-29周均耗用'!$A$1:$C$602,3,FALSE)</f>
        <v>5.8</v>
      </c>
    </row>
    <row r="353" spans="1:9">
      <c r="A353" s="13" t="s">
        <v>711</v>
      </c>
      <c r="B353" s="14" t="s">
        <v>712</v>
      </c>
      <c r="C353" s="13">
        <v>955</v>
      </c>
      <c r="D353" s="7">
        <f>IFERROR(VLOOKUP(A353,'1227-29耗量'!$A$1:$C$602,3,FALSE),0)</f>
        <v>5</v>
      </c>
      <c r="E353" s="7">
        <f t="shared" si="10"/>
        <v>950</v>
      </c>
      <c r="F353" s="7" t="str">
        <f t="shared" si="11"/>
        <v>無資料</v>
      </c>
      <c r="G353" s="7" t="e">
        <f>VLOOKUP(A353,Sheet5!$A$2:$D$415,4,FALSE)</f>
        <v>#N/A</v>
      </c>
      <c r="H353" s="7" t="e">
        <f>VLOOKUP(A353,Sheet5!$A$2:$D$415,3,FALSE)</f>
        <v>#N/A</v>
      </c>
      <c r="I353" s="7">
        <f>VLOOKUP(A353,'1201-29周均耗用'!$A$1:$C$602,3,FALSE)</f>
        <v>30</v>
      </c>
    </row>
    <row r="354" spans="1:9">
      <c r="A354" s="13" t="s">
        <v>713</v>
      </c>
      <c r="B354" s="14" t="s">
        <v>714</v>
      </c>
      <c r="C354" s="13">
        <v>4</v>
      </c>
      <c r="D354" s="7">
        <f>IFERROR(VLOOKUP(A354,'1227-29耗量'!$A$1:$C$602,3,FALSE),0)</f>
        <v>0</v>
      </c>
      <c r="E354" s="7">
        <f t="shared" si="10"/>
        <v>4</v>
      </c>
      <c r="F354" s="7" t="str">
        <f t="shared" si="11"/>
        <v>錯誤</v>
      </c>
      <c r="G354" s="7">
        <f>VLOOKUP(A354,Sheet5!$A$2:$D$415,4,FALSE)</f>
        <v>1</v>
      </c>
      <c r="H354" s="7">
        <f>VLOOKUP(A354,Sheet5!$A$2:$D$415,3,FALSE)</f>
        <v>5</v>
      </c>
      <c r="I354" s="7">
        <f>VLOOKUP(A354,'1201-29周均耗用'!$A$1:$C$602,3,FALSE)</f>
        <v>0.8</v>
      </c>
    </row>
    <row r="355" spans="1:9">
      <c r="A355" s="13" t="s">
        <v>715</v>
      </c>
      <c r="B355" s="14" t="s">
        <v>716</v>
      </c>
      <c r="C355" s="13">
        <v>0</v>
      </c>
      <c r="D355" s="7">
        <f>IFERROR(VLOOKUP(A355,'1227-29耗量'!$A$1:$C$602,3,FALSE),0)</f>
        <v>0</v>
      </c>
      <c r="E355" s="7">
        <f t="shared" si="10"/>
        <v>0</v>
      </c>
      <c r="F355" s="7" t="str">
        <f t="shared" si="11"/>
        <v>無資料</v>
      </c>
      <c r="G355" s="7" t="e">
        <f>VLOOKUP(A355,Sheet5!$A$2:$D$415,4,FALSE)</f>
        <v>#N/A</v>
      </c>
      <c r="H355" s="7" t="e">
        <f>VLOOKUP(A355,Sheet5!$A$2:$D$415,3,FALSE)</f>
        <v>#N/A</v>
      </c>
      <c r="I355" s="7" t="e">
        <f>VLOOKUP(A355,'1201-29周均耗用'!$A$1:$C$602,3,FALSE)</f>
        <v>#N/A</v>
      </c>
    </row>
    <row r="356" spans="1:9">
      <c r="A356" s="13" t="s">
        <v>717</v>
      </c>
      <c r="B356" s="14" t="s">
        <v>718</v>
      </c>
      <c r="C356" s="13">
        <v>933</v>
      </c>
      <c r="D356" s="7">
        <f>VLOOKUP(A356,'1227-29耗量'!$A$1:$C$602,3,FALSE)</f>
        <v>7</v>
      </c>
      <c r="E356" s="7">
        <f t="shared" si="10"/>
        <v>926</v>
      </c>
      <c r="F356" s="7" t="str">
        <f t="shared" si="11"/>
        <v>錯誤</v>
      </c>
      <c r="G356" s="7">
        <f>VLOOKUP(A356,Sheet5!$A$2:$D$415,4,FALSE)</f>
        <v>229</v>
      </c>
      <c r="H356" s="7">
        <f>VLOOKUP(A356,Sheet5!$A$2:$D$415,3,FALSE)</f>
        <v>840</v>
      </c>
      <c r="I356" s="7">
        <f>VLOOKUP(A356,'1201-29周均耗用'!$A$1:$C$602,3,FALSE)</f>
        <v>146.2</v>
      </c>
    </row>
    <row r="357" spans="1:9">
      <c r="A357" s="13" t="s">
        <v>719</v>
      </c>
      <c r="B357" s="14" t="s">
        <v>720</v>
      </c>
      <c r="C357" s="13">
        <v>244</v>
      </c>
      <c r="D357" s="7">
        <f>VLOOKUP(A357,'1227-29耗量'!$A$1:$C$602,3,FALSE)</f>
        <v>8</v>
      </c>
      <c r="E357" s="7">
        <f t="shared" si="10"/>
        <v>236</v>
      </c>
      <c r="F357" s="7" t="str">
        <f t="shared" si="11"/>
        <v>錯誤</v>
      </c>
      <c r="G357" s="7">
        <f>VLOOKUP(A357,Sheet5!$A$2:$D$415,4,FALSE)</f>
        <v>109</v>
      </c>
      <c r="H357" s="7">
        <f>VLOOKUP(A357,Sheet5!$A$2:$D$415,3,FALSE)</f>
        <v>300</v>
      </c>
      <c r="I357" s="7">
        <f>VLOOKUP(A357,'1201-29周均耗用'!$A$1:$C$602,3,FALSE)</f>
        <v>86.8</v>
      </c>
    </row>
    <row r="358" spans="1:9">
      <c r="A358" s="13" t="s">
        <v>721</v>
      </c>
      <c r="B358" s="14" t="s">
        <v>722</v>
      </c>
      <c r="C358" s="13">
        <v>0</v>
      </c>
      <c r="D358" s="7">
        <f>IFERROR(VLOOKUP(A358,'1227-29耗量'!$A$1:$C$602,3,FALSE),0)</f>
        <v>0</v>
      </c>
      <c r="E358" s="7">
        <f t="shared" si="10"/>
        <v>0</v>
      </c>
      <c r="F358" s="7" t="str">
        <f t="shared" si="11"/>
        <v>無資料</v>
      </c>
      <c r="G358" s="7" t="e">
        <f>VLOOKUP(A358,Sheet5!$A$2:$D$415,4,FALSE)</f>
        <v>#N/A</v>
      </c>
      <c r="H358" s="7" t="e">
        <f>VLOOKUP(A358,Sheet5!$A$2:$D$415,3,FALSE)</f>
        <v>#N/A</v>
      </c>
      <c r="I358" s="7" t="e">
        <f>VLOOKUP(A358,'1201-29周均耗用'!$A$1:$C$602,3,FALSE)</f>
        <v>#N/A</v>
      </c>
    </row>
    <row r="359" spans="1:9">
      <c r="A359" s="13" t="s">
        <v>723</v>
      </c>
      <c r="B359" s="14" t="s">
        <v>724</v>
      </c>
      <c r="C359" s="13">
        <v>23</v>
      </c>
      <c r="D359" s="7">
        <f>IFERROR(VLOOKUP(A359,'1227-29耗量'!$A$1:$C$602,3,FALSE),0)</f>
        <v>0</v>
      </c>
      <c r="E359" s="7">
        <f t="shared" si="10"/>
        <v>23</v>
      </c>
      <c r="F359" s="7" t="str">
        <f t="shared" si="11"/>
        <v>錯誤</v>
      </c>
      <c r="G359" s="7">
        <f>VLOOKUP(A359,Sheet5!$A$2:$D$415,4,FALSE)</f>
        <v>12</v>
      </c>
      <c r="H359" s="7">
        <f>VLOOKUP(A359,Sheet5!$A$2:$D$415,3,FALSE)</f>
        <v>10</v>
      </c>
      <c r="I359" s="7" t="e">
        <f>VLOOKUP(A359,'1201-29周均耗用'!$A$1:$C$602,3,FALSE)</f>
        <v>#N/A</v>
      </c>
    </row>
    <row r="360" spans="1:9">
      <c r="A360" s="13" t="s">
        <v>725</v>
      </c>
      <c r="B360" s="14" t="s">
        <v>726</v>
      </c>
      <c r="C360" s="13">
        <v>88</v>
      </c>
      <c r="D360" s="7">
        <f>IFERROR(VLOOKUP(A360,'1227-29耗量'!$A$1:$C$602,3,FALSE),0)</f>
        <v>7</v>
      </c>
      <c r="E360" s="7">
        <f t="shared" si="10"/>
        <v>81</v>
      </c>
      <c r="F360" s="7" t="str">
        <f t="shared" si="11"/>
        <v>無資料</v>
      </c>
      <c r="G360" s="7" t="e">
        <f>VLOOKUP(A360,Sheet5!$A$2:$D$415,4,FALSE)</f>
        <v>#N/A</v>
      </c>
      <c r="H360" s="7" t="e">
        <f>VLOOKUP(A360,Sheet5!$A$2:$D$415,3,FALSE)</f>
        <v>#N/A</v>
      </c>
      <c r="I360" s="7" t="e">
        <f>VLOOKUP(A360,'1201-29周均耗用'!$A$1:$C$602,3,FALSE)</f>
        <v>#N/A</v>
      </c>
    </row>
    <row r="361" spans="1:9">
      <c r="A361" s="13" t="s">
        <v>727</v>
      </c>
      <c r="B361" s="14" t="s">
        <v>728</v>
      </c>
      <c r="C361" s="13">
        <v>40</v>
      </c>
      <c r="D361" s="7">
        <f>VLOOKUP(A361,'1227-29耗量'!$A$1:$C$602,3,FALSE)</f>
        <v>3</v>
      </c>
      <c r="E361" s="7">
        <f t="shared" si="10"/>
        <v>37</v>
      </c>
      <c r="F361" s="7" t="str">
        <f t="shared" si="11"/>
        <v>錯誤</v>
      </c>
      <c r="G361" s="7">
        <f>VLOOKUP(A361,Sheet5!$A$2:$D$415,4,FALSE)</f>
        <v>24</v>
      </c>
      <c r="H361" s="7">
        <f>VLOOKUP(A361,Sheet5!$A$2:$D$415,3,FALSE)</f>
        <v>40</v>
      </c>
      <c r="I361" s="7" t="e">
        <f>VLOOKUP(A361,'1201-29周均耗用'!$A$1:$C$602,3,FALSE)</f>
        <v>#N/A</v>
      </c>
    </row>
    <row r="362" spans="1:9">
      <c r="A362" s="13" t="s">
        <v>729</v>
      </c>
      <c r="B362" s="14" t="s">
        <v>730</v>
      </c>
      <c r="C362" s="13">
        <v>9</v>
      </c>
      <c r="D362" s="7">
        <f>IFERROR(VLOOKUP(A362,'1227-29耗量'!$A$1:$C$602,3,FALSE),0)</f>
        <v>0</v>
      </c>
      <c r="E362" s="7">
        <f t="shared" si="10"/>
        <v>9</v>
      </c>
      <c r="F362" s="7" t="str">
        <f t="shared" si="11"/>
        <v>無資料</v>
      </c>
      <c r="G362" s="7" t="e">
        <f>VLOOKUP(A362,Sheet5!$A$2:$D$415,4,FALSE)</f>
        <v>#N/A</v>
      </c>
      <c r="H362" s="7" t="e">
        <f>VLOOKUP(A362,Sheet5!$A$2:$D$415,3,FALSE)</f>
        <v>#N/A</v>
      </c>
      <c r="I362" s="7" t="e">
        <f>VLOOKUP(A362,'1201-29周均耗用'!$A$1:$C$602,3,FALSE)</f>
        <v>#N/A</v>
      </c>
    </row>
    <row r="363" spans="1:9">
      <c r="A363" s="13" t="s">
        <v>731</v>
      </c>
      <c r="B363" s="14" t="s">
        <v>732</v>
      </c>
      <c r="C363" s="13">
        <v>891</v>
      </c>
      <c r="D363" s="7">
        <f>VLOOKUP(A363,'1227-29耗量'!$A$1:$C$602,3,FALSE)</f>
        <v>8</v>
      </c>
      <c r="E363" s="7">
        <f t="shared" si="10"/>
        <v>883</v>
      </c>
      <c r="F363" s="7" t="str">
        <f t="shared" si="11"/>
        <v>錯誤</v>
      </c>
      <c r="G363" s="7">
        <f>VLOOKUP(A363,Sheet5!$A$2:$D$415,4,FALSE)</f>
        <v>584</v>
      </c>
      <c r="H363" s="7">
        <f>VLOOKUP(A363,Sheet5!$A$2:$D$415,3,FALSE)</f>
        <v>400</v>
      </c>
      <c r="I363" s="7">
        <f>VLOOKUP(A363,'1201-29周均耗用'!$A$1:$C$602,3,FALSE)</f>
        <v>80.8</v>
      </c>
    </row>
    <row r="364" spans="1:9">
      <c r="A364" s="13" t="s">
        <v>733</v>
      </c>
      <c r="B364" s="14" t="s">
        <v>734</v>
      </c>
      <c r="C364" s="13">
        <v>262</v>
      </c>
      <c r="D364" s="7">
        <f>VLOOKUP(A364,'1227-29耗量'!$A$1:$C$602,3,FALSE)</f>
        <v>14</v>
      </c>
      <c r="E364" s="7">
        <f t="shared" si="10"/>
        <v>248</v>
      </c>
      <c r="F364" s="7" t="str">
        <f t="shared" si="11"/>
        <v>錯誤</v>
      </c>
      <c r="G364" s="7">
        <f>VLOOKUP(A364,Sheet5!$A$2:$D$415,4,FALSE)</f>
        <v>58</v>
      </c>
      <c r="H364" s="7">
        <f>VLOOKUP(A364,Sheet5!$A$2:$D$415,3,FALSE)</f>
        <v>224</v>
      </c>
      <c r="I364" s="7">
        <f>VLOOKUP(A364,'1201-29周均耗用'!$A$1:$C$602,3,FALSE)</f>
        <v>76</v>
      </c>
    </row>
    <row r="365" spans="1:9">
      <c r="A365" s="13" t="s">
        <v>735</v>
      </c>
      <c r="B365" s="14" t="s">
        <v>736</v>
      </c>
      <c r="C365" s="13">
        <v>0</v>
      </c>
      <c r="D365" s="7">
        <f>IFERROR(VLOOKUP(A365,'1227-29耗量'!$A$1:$C$602,3,FALSE),0)</f>
        <v>0</v>
      </c>
      <c r="E365" s="7">
        <f t="shared" si="10"/>
        <v>0</v>
      </c>
      <c r="F365" s="7" t="str">
        <f t="shared" si="11"/>
        <v>無資料</v>
      </c>
      <c r="G365" s="7" t="e">
        <f>VLOOKUP(A365,Sheet5!$A$2:$D$415,4,FALSE)</f>
        <v>#N/A</v>
      </c>
      <c r="H365" s="7" t="e">
        <f>VLOOKUP(A365,Sheet5!$A$2:$D$415,3,FALSE)</f>
        <v>#N/A</v>
      </c>
      <c r="I365" s="7" t="e">
        <f>VLOOKUP(A365,'1201-29周均耗用'!$A$1:$C$602,3,FALSE)</f>
        <v>#N/A</v>
      </c>
    </row>
    <row r="366" spans="1:9">
      <c r="A366" s="13" t="s">
        <v>737</v>
      </c>
      <c r="B366" s="14" t="s">
        <v>738</v>
      </c>
      <c r="C366" s="13">
        <v>271</v>
      </c>
      <c r="D366" s="7">
        <f>VLOOKUP(A366,'1227-29耗量'!$A$1:$C$602,3,FALSE)</f>
        <v>10</v>
      </c>
      <c r="E366" s="7">
        <f t="shared" si="10"/>
        <v>261</v>
      </c>
      <c r="F366" s="7" t="str">
        <f t="shared" si="11"/>
        <v>錯誤</v>
      </c>
      <c r="G366" s="7">
        <f>VLOOKUP(A366,Sheet5!$A$2:$D$415,4,FALSE)</f>
        <v>181</v>
      </c>
      <c r="H366" s="7">
        <f>VLOOKUP(A366,Sheet5!$A$2:$D$415,3,FALSE)</f>
        <v>250</v>
      </c>
      <c r="I366" s="7">
        <f>VLOOKUP(A366,'1201-29周均耗用'!$A$1:$C$602,3,FALSE)</f>
        <v>64.8</v>
      </c>
    </row>
    <row r="367" spans="1:9">
      <c r="A367" s="13" t="s">
        <v>739</v>
      </c>
      <c r="B367" s="14" t="s">
        <v>740</v>
      </c>
      <c r="C367" s="13">
        <v>220</v>
      </c>
      <c r="D367" s="7">
        <f>IFERROR(VLOOKUP(A367,'1227-29耗量'!$A$1:$C$602,3,FALSE),0)</f>
        <v>0</v>
      </c>
      <c r="E367" s="7">
        <f t="shared" si="10"/>
        <v>220</v>
      </c>
      <c r="F367" s="7" t="str">
        <f t="shared" si="11"/>
        <v>錯誤</v>
      </c>
      <c r="G367" s="7">
        <f>VLOOKUP(A367,Sheet5!$A$2:$D$415,4,FALSE)</f>
        <v>44</v>
      </c>
      <c r="H367" s="7">
        <f>VLOOKUP(A367,Sheet5!$A$2:$D$415,3,FALSE)</f>
        <v>140</v>
      </c>
      <c r="I367" s="7">
        <f>VLOOKUP(A367,'1201-29周均耗用'!$A$1:$C$602,3,FALSE)</f>
        <v>33</v>
      </c>
    </row>
    <row r="368" spans="1:9">
      <c r="A368" s="13" t="s">
        <v>741</v>
      </c>
      <c r="B368" s="14" t="s">
        <v>742</v>
      </c>
      <c r="C368" s="13">
        <v>0</v>
      </c>
      <c r="D368" s="7">
        <f>IFERROR(VLOOKUP(A368,'1227-29耗量'!$A$1:$C$602,3,FALSE),0)</f>
        <v>2</v>
      </c>
      <c r="E368" s="7">
        <f t="shared" si="10"/>
        <v>-2</v>
      </c>
      <c r="F368" s="7" t="str">
        <f t="shared" si="11"/>
        <v>無資料</v>
      </c>
      <c r="G368" s="7" t="e">
        <f>VLOOKUP(A368,Sheet5!$A$2:$D$415,4,FALSE)</f>
        <v>#N/A</v>
      </c>
      <c r="H368" s="7" t="e">
        <f>VLOOKUP(A368,Sheet5!$A$2:$D$415,3,FALSE)</f>
        <v>#N/A</v>
      </c>
      <c r="I368" s="7">
        <f>VLOOKUP(A368,'1201-29周均耗用'!$A$1:$C$602,3,FALSE)</f>
        <v>2.2</v>
      </c>
    </row>
    <row r="369" spans="1:9">
      <c r="A369" s="13" t="s">
        <v>743</v>
      </c>
      <c r="B369" s="14" t="s">
        <v>744</v>
      </c>
      <c r="C369" s="13">
        <v>665</v>
      </c>
      <c r="D369" s="7">
        <f>VLOOKUP(A369,'1227-29耗量'!$A$1:$C$602,3,FALSE)</f>
        <v>63</v>
      </c>
      <c r="E369" s="7">
        <f t="shared" si="10"/>
        <v>602</v>
      </c>
      <c r="F369" s="7" t="str">
        <f t="shared" si="11"/>
        <v>錯誤</v>
      </c>
      <c r="G369" s="7">
        <f>VLOOKUP(A369,Sheet5!$A$2:$D$415,4,FALSE)</f>
        <v>413</v>
      </c>
      <c r="H369" s="7">
        <f>VLOOKUP(A369,Sheet5!$A$2:$D$415,3,FALSE)</f>
        <v>840</v>
      </c>
      <c r="I369" s="7">
        <f>VLOOKUP(A369,'1201-29周均耗用'!$A$1:$C$602,3,FALSE)</f>
        <v>212.8</v>
      </c>
    </row>
    <row r="370" spans="1:9">
      <c r="A370" s="13" t="s">
        <v>745</v>
      </c>
      <c r="B370" s="14" t="s">
        <v>746</v>
      </c>
      <c r="C370" s="13">
        <v>0</v>
      </c>
      <c r="D370" s="7">
        <f>IFERROR(VLOOKUP(A370,'1227-29耗量'!$A$1:$C$602,3,FALSE),0)</f>
        <v>0</v>
      </c>
      <c r="E370" s="7">
        <f t="shared" si="10"/>
        <v>0</v>
      </c>
      <c r="F370" s="7" t="str">
        <f t="shared" si="11"/>
        <v>無資料</v>
      </c>
      <c r="G370" s="7" t="e">
        <f>VLOOKUP(A370,Sheet5!$A$2:$D$415,4,FALSE)</f>
        <v>#N/A</v>
      </c>
      <c r="H370" s="7" t="e">
        <f>VLOOKUP(A370,Sheet5!$A$2:$D$415,3,FALSE)</f>
        <v>#N/A</v>
      </c>
      <c r="I370" s="7" t="e">
        <f>VLOOKUP(A370,'1201-29周均耗用'!$A$1:$C$602,3,FALSE)</f>
        <v>#N/A</v>
      </c>
    </row>
    <row r="371" spans="1:9">
      <c r="A371" s="13" t="s">
        <v>747</v>
      </c>
      <c r="B371" s="14" t="s">
        <v>748</v>
      </c>
      <c r="C371" s="13">
        <v>0</v>
      </c>
      <c r="D371" s="7">
        <f>IFERROR(VLOOKUP(A371,'1227-29耗量'!$A$1:$C$602,3,FALSE),0)</f>
        <v>0</v>
      </c>
      <c r="E371" s="7">
        <f t="shared" si="10"/>
        <v>0</v>
      </c>
      <c r="F371" s="7" t="str">
        <f t="shared" si="11"/>
        <v>無資料</v>
      </c>
      <c r="G371" s="7" t="e">
        <f>VLOOKUP(A371,Sheet5!$A$2:$D$415,4,FALSE)</f>
        <v>#N/A</v>
      </c>
      <c r="H371" s="7" t="e">
        <f>VLOOKUP(A371,Sheet5!$A$2:$D$415,3,FALSE)</f>
        <v>#N/A</v>
      </c>
      <c r="I371" s="7" t="e">
        <f>VLOOKUP(A371,'1201-29周均耗用'!$A$1:$C$602,3,FALSE)</f>
        <v>#N/A</v>
      </c>
    </row>
    <row r="372" spans="1:9">
      <c r="A372" s="13" t="s">
        <v>749</v>
      </c>
      <c r="B372" s="14" t="s">
        <v>750</v>
      </c>
      <c r="C372" s="13">
        <v>0</v>
      </c>
      <c r="D372" s="7">
        <f>IFERROR(VLOOKUP(A372,'1227-29耗量'!$A$1:$C$602,3,FALSE),0)</f>
        <v>0</v>
      </c>
      <c r="E372" s="7">
        <f t="shared" si="10"/>
        <v>0</v>
      </c>
      <c r="F372" s="7" t="str">
        <f t="shared" si="11"/>
        <v>無資料</v>
      </c>
      <c r="G372" s="7" t="e">
        <f>VLOOKUP(A372,Sheet5!$A$2:$D$415,4,FALSE)</f>
        <v>#N/A</v>
      </c>
      <c r="H372" s="7" t="e">
        <f>VLOOKUP(A372,Sheet5!$A$2:$D$415,3,FALSE)</f>
        <v>#N/A</v>
      </c>
      <c r="I372" s="7" t="e">
        <f>VLOOKUP(A372,'1201-29周均耗用'!$A$1:$C$602,3,FALSE)</f>
        <v>#N/A</v>
      </c>
    </row>
    <row r="373" spans="1:9">
      <c r="A373" s="13" t="s">
        <v>751</v>
      </c>
      <c r="B373" s="14" t="s">
        <v>752</v>
      </c>
      <c r="C373" s="13">
        <v>0</v>
      </c>
      <c r="D373" s="7">
        <f>IFERROR(VLOOKUP(A373,'1227-29耗量'!$A$1:$C$602,3,FALSE),0)</f>
        <v>0</v>
      </c>
      <c r="E373" s="7">
        <f t="shared" si="10"/>
        <v>0</v>
      </c>
      <c r="F373" s="7" t="str">
        <f t="shared" si="11"/>
        <v>無資料</v>
      </c>
      <c r="G373" s="7" t="e">
        <f>VLOOKUP(A373,Sheet5!$A$2:$D$415,4,FALSE)</f>
        <v>#N/A</v>
      </c>
      <c r="H373" s="7" t="e">
        <f>VLOOKUP(A373,Sheet5!$A$2:$D$415,3,FALSE)</f>
        <v>#N/A</v>
      </c>
      <c r="I373" s="7" t="e">
        <f>VLOOKUP(A373,'1201-29周均耗用'!$A$1:$C$602,3,FALSE)</f>
        <v>#N/A</v>
      </c>
    </row>
    <row r="374" spans="1:9">
      <c r="A374" s="13" t="s">
        <v>753</v>
      </c>
      <c r="B374" s="14" t="s">
        <v>754</v>
      </c>
      <c r="C374" s="13">
        <v>0</v>
      </c>
      <c r="D374" s="7">
        <f>IFERROR(VLOOKUP(A374,'1227-29耗量'!$A$1:$C$602,3,FALSE),0)</f>
        <v>0</v>
      </c>
      <c r="E374" s="7">
        <f t="shared" si="10"/>
        <v>0</v>
      </c>
      <c r="F374" s="7" t="str">
        <f t="shared" si="11"/>
        <v>無資料</v>
      </c>
      <c r="G374" s="7" t="e">
        <f>VLOOKUP(A374,Sheet5!$A$2:$D$415,4,FALSE)</f>
        <v>#N/A</v>
      </c>
      <c r="H374" s="7" t="e">
        <f>VLOOKUP(A374,Sheet5!$A$2:$D$415,3,FALSE)</f>
        <v>#N/A</v>
      </c>
      <c r="I374" s="7" t="e">
        <f>VLOOKUP(A374,'1201-29周均耗用'!$A$1:$C$602,3,FALSE)</f>
        <v>#N/A</v>
      </c>
    </row>
    <row r="375" spans="1:9">
      <c r="A375" s="13" t="s">
        <v>755</v>
      </c>
      <c r="B375" s="14" t="s">
        <v>756</v>
      </c>
      <c r="C375" s="13">
        <v>200</v>
      </c>
      <c r="D375" s="7">
        <f>VLOOKUP(A375,'1227-29耗量'!$A$1:$C$602,3,FALSE)</f>
        <v>34</v>
      </c>
      <c r="E375" s="7">
        <f t="shared" si="10"/>
        <v>166</v>
      </c>
      <c r="F375" s="7" t="str">
        <f t="shared" si="11"/>
        <v>錯誤</v>
      </c>
      <c r="G375" s="7">
        <f>VLOOKUP(A375,Sheet5!$A$2:$D$415,4,FALSE)</f>
        <v>73</v>
      </c>
      <c r="H375" s="7">
        <f>VLOOKUP(A375,Sheet5!$A$2:$D$415,3,FALSE)</f>
        <v>336</v>
      </c>
      <c r="I375" s="7">
        <f>VLOOKUP(A375,'1201-29周均耗用'!$A$1:$C$602,3,FALSE)</f>
        <v>109</v>
      </c>
    </row>
    <row r="376" spans="1:9">
      <c r="A376" s="13" t="s">
        <v>757</v>
      </c>
      <c r="B376" s="14" t="s">
        <v>758</v>
      </c>
      <c r="C376" s="13">
        <v>18</v>
      </c>
      <c r="D376" s="7">
        <f>IFERROR(VLOOKUP(A376,'1227-29耗量'!$A$1:$C$602,3,FALSE),0)</f>
        <v>0</v>
      </c>
      <c r="E376" s="7">
        <f t="shared" si="10"/>
        <v>18</v>
      </c>
      <c r="F376" s="7" t="str">
        <f t="shared" si="11"/>
        <v>錯誤</v>
      </c>
      <c r="G376" s="7">
        <f>VLOOKUP(A376,Sheet5!$A$2:$D$415,4,FALSE)</f>
        <v>5</v>
      </c>
      <c r="H376" s="7">
        <f>VLOOKUP(A376,Sheet5!$A$2:$D$415,3,FALSE)</f>
        <v>12</v>
      </c>
      <c r="I376" s="7" t="e">
        <f>VLOOKUP(A376,'1201-29周均耗用'!$A$1:$C$602,3,FALSE)</f>
        <v>#N/A</v>
      </c>
    </row>
    <row r="377" spans="1:9">
      <c r="A377" s="13" t="s">
        <v>759</v>
      </c>
      <c r="B377" s="14" t="s">
        <v>760</v>
      </c>
      <c r="C377" s="13">
        <v>163</v>
      </c>
      <c r="D377" s="7">
        <f>VLOOKUP(A377,'1227-29耗量'!$A$1:$C$602,3,FALSE)</f>
        <v>64</v>
      </c>
      <c r="E377" s="7">
        <f t="shared" si="10"/>
        <v>99</v>
      </c>
      <c r="F377" s="7" t="str">
        <f t="shared" si="11"/>
        <v>錯誤</v>
      </c>
      <c r="G377" s="7">
        <f>VLOOKUP(A377,Sheet5!$A$2:$D$415,4,FALSE)</f>
        <v>116</v>
      </c>
      <c r="H377" s="7">
        <f>VLOOKUP(A377,Sheet5!$A$2:$D$415,3,FALSE)</f>
        <v>336</v>
      </c>
      <c r="I377" s="7">
        <f>VLOOKUP(A377,'1201-29周均耗用'!$A$1:$C$602,3,FALSE)</f>
        <v>154.8</v>
      </c>
    </row>
    <row r="378" spans="1:9">
      <c r="A378" s="13" t="s">
        <v>761</v>
      </c>
      <c r="B378" s="14" t="s">
        <v>762</v>
      </c>
      <c r="C378" s="13">
        <v>975</v>
      </c>
      <c r="D378" s="7">
        <f>IFERROR(VLOOKUP(A378,'1227-29耗量'!$A$1:$C$602,3,FALSE),0)</f>
        <v>102</v>
      </c>
      <c r="E378" s="7">
        <f t="shared" si="10"/>
        <v>873</v>
      </c>
      <c r="F378" s="7" t="str">
        <f t="shared" si="11"/>
        <v>無資料</v>
      </c>
      <c r="G378" s="7" t="e">
        <f>VLOOKUP(A378,Sheet5!$A$2:$D$415,4,FALSE)</f>
        <v>#N/A</v>
      </c>
      <c r="H378" s="7" t="e">
        <f>VLOOKUP(A378,Sheet5!$A$2:$D$415,3,FALSE)</f>
        <v>#N/A</v>
      </c>
      <c r="I378" s="7">
        <f>VLOOKUP(A378,'1201-29周均耗用'!$A$1:$C$602,3,FALSE)</f>
        <v>429.5</v>
      </c>
    </row>
    <row r="379" spans="1:9">
      <c r="A379" s="13" t="s">
        <v>763</v>
      </c>
      <c r="B379" s="14" t="s">
        <v>764</v>
      </c>
      <c r="C379" s="13">
        <v>298</v>
      </c>
      <c r="D379" s="7">
        <f>IFERROR(VLOOKUP(A379,'1227-29耗量'!$A$1:$C$602,3,FALSE),0)</f>
        <v>32</v>
      </c>
      <c r="E379" s="7">
        <f t="shared" si="10"/>
        <v>266</v>
      </c>
      <c r="F379" s="7" t="str">
        <f t="shared" si="11"/>
        <v>無資料</v>
      </c>
      <c r="G379" s="7" t="e">
        <f>VLOOKUP(A379,Sheet5!$A$2:$D$415,4,FALSE)</f>
        <v>#N/A</v>
      </c>
      <c r="H379" s="7" t="e">
        <f>VLOOKUP(A379,Sheet5!$A$2:$D$415,3,FALSE)</f>
        <v>#N/A</v>
      </c>
      <c r="I379" s="7">
        <f>VLOOKUP(A379,'1201-29周均耗用'!$A$1:$C$602,3,FALSE)</f>
        <v>50.8</v>
      </c>
    </row>
    <row r="380" spans="1:9">
      <c r="A380" s="13" t="s">
        <v>765</v>
      </c>
      <c r="B380" s="14" t="s">
        <v>766</v>
      </c>
      <c r="C380" s="13">
        <v>76</v>
      </c>
      <c r="D380" s="7">
        <f>VLOOKUP(A380,'1227-29耗量'!$A$1:$C$602,3,FALSE)</f>
        <v>6</v>
      </c>
      <c r="E380" s="7">
        <f t="shared" si="10"/>
        <v>70</v>
      </c>
      <c r="F380" s="7" t="str">
        <f t="shared" si="11"/>
        <v>錯誤</v>
      </c>
      <c r="G380" s="7">
        <f>VLOOKUP(A380,Sheet5!$A$2:$D$415,4,FALSE)</f>
        <v>-41</v>
      </c>
      <c r="H380" s="7">
        <f>VLOOKUP(A380,Sheet5!$A$2:$D$415,3,FALSE)</f>
        <v>30</v>
      </c>
      <c r="I380" s="7">
        <f>VLOOKUP(A380,'1201-29周均耗用'!$A$1:$C$602,3,FALSE)</f>
        <v>17.8</v>
      </c>
    </row>
    <row r="381" spans="1:9">
      <c r="A381" s="13" t="s">
        <v>767</v>
      </c>
      <c r="B381" s="14" t="s">
        <v>768</v>
      </c>
      <c r="C381" s="13">
        <v>72</v>
      </c>
      <c r="D381" s="7">
        <f>VLOOKUP(A381,'1227-29耗量'!$A$1:$C$602,3,FALSE)</f>
        <v>2</v>
      </c>
      <c r="E381" s="7">
        <f t="shared" si="10"/>
        <v>70</v>
      </c>
      <c r="F381" s="7" t="str">
        <f t="shared" si="11"/>
        <v>錯誤</v>
      </c>
      <c r="G381" s="7">
        <f>VLOOKUP(A381,Sheet5!$A$2:$D$415,4,FALSE)</f>
        <v>28</v>
      </c>
      <c r="H381" s="7">
        <f>VLOOKUP(A381,Sheet5!$A$2:$D$415,3,FALSE)</f>
        <v>40</v>
      </c>
      <c r="I381" s="7">
        <f>VLOOKUP(A381,'1201-29周均耗用'!$A$1:$C$602,3,FALSE)</f>
        <v>9.2</v>
      </c>
    </row>
    <row r="382" spans="1:9">
      <c r="A382" s="13" t="s">
        <v>769</v>
      </c>
      <c r="B382" s="14" t="s">
        <v>770</v>
      </c>
      <c r="C382" s="13">
        <v>0</v>
      </c>
      <c r="D382" s="7">
        <f>IFERROR(VLOOKUP(A382,'1227-29耗量'!$A$1:$C$602,3,FALSE),0)</f>
        <v>0</v>
      </c>
      <c r="E382" s="7">
        <f t="shared" si="10"/>
        <v>0</v>
      </c>
      <c r="F382" s="7" t="str">
        <f t="shared" si="11"/>
        <v>無資料</v>
      </c>
      <c r="G382" s="7" t="e">
        <f>VLOOKUP(A382,Sheet5!$A$2:$D$415,4,FALSE)</f>
        <v>#N/A</v>
      </c>
      <c r="H382" s="7" t="e">
        <f>VLOOKUP(A382,Sheet5!$A$2:$D$415,3,FALSE)</f>
        <v>#N/A</v>
      </c>
      <c r="I382" s="7" t="e">
        <f>VLOOKUP(A382,'1201-29周均耗用'!$A$1:$C$602,3,FALSE)</f>
        <v>#N/A</v>
      </c>
    </row>
    <row r="383" spans="1:9">
      <c r="A383" s="13" t="s">
        <v>771</v>
      </c>
      <c r="B383" s="14" t="s">
        <v>772</v>
      </c>
      <c r="C383" s="13">
        <v>2</v>
      </c>
      <c r="D383" s="7">
        <f>IFERROR(VLOOKUP(A383,'1227-29耗量'!$A$1:$C$602,3,FALSE),0)</f>
        <v>1</v>
      </c>
      <c r="E383" s="7">
        <f t="shared" si="10"/>
        <v>1</v>
      </c>
      <c r="F383" s="7" t="str">
        <f t="shared" si="11"/>
        <v>無資料</v>
      </c>
      <c r="G383" s="7" t="e">
        <f>VLOOKUP(A383,Sheet5!$A$2:$D$415,4,FALSE)</f>
        <v>#N/A</v>
      </c>
      <c r="H383" s="7" t="e">
        <f>VLOOKUP(A383,Sheet5!$A$2:$D$415,3,FALSE)</f>
        <v>#N/A</v>
      </c>
      <c r="I383" s="7">
        <f>VLOOKUP(A383,'1201-29周均耗用'!$A$1:$C$602,3,FALSE)</f>
        <v>0.2</v>
      </c>
    </row>
    <row r="384" spans="1:9">
      <c r="A384" s="13" t="s">
        <v>773</v>
      </c>
      <c r="B384" s="14" t="s">
        <v>774</v>
      </c>
      <c r="C384" s="13">
        <v>0</v>
      </c>
      <c r="D384" s="7">
        <f>IFERROR(VLOOKUP(A384,'1227-29耗量'!$A$1:$C$602,3,FALSE),0)</f>
        <v>0</v>
      </c>
      <c r="E384" s="7">
        <f t="shared" si="10"/>
        <v>0</v>
      </c>
      <c r="F384" s="7" t="str">
        <f t="shared" si="11"/>
        <v>無資料</v>
      </c>
      <c r="G384" s="7" t="e">
        <f>VLOOKUP(A384,Sheet5!$A$2:$D$415,4,FALSE)</f>
        <v>#N/A</v>
      </c>
      <c r="H384" s="7" t="e">
        <f>VLOOKUP(A384,Sheet5!$A$2:$D$415,3,FALSE)</f>
        <v>#N/A</v>
      </c>
      <c r="I384" s="7" t="e">
        <f>VLOOKUP(A384,'1201-29周均耗用'!$A$1:$C$602,3,FALSE)</f>
        <v>#N/A</v>
      </c>
    </row>
    <row r="385" spans="1:9">
      <c r="A385" s="13" t="s">
        <v>775</v>
      </c>
      <c r="B385" s="14" t="s">
        <v>776</v>
      </c>
      <c r="C385" s="13">
        <v>7</v>
      </c>
      <c r="D385" s="7">
        <f>IFERROR(VLOOKUP(A385,'1227-29耗量'!$A$1:$C$602,3,FALSE),0)</f>
        <v>0</v>
      </c>
      <c r="E385" s="7">
        <f t="shared" si="10"/>
        <v>7</v>
      </c>
      <c r="F385" s="7" t="str">
        <f t="shared" si="11"/>
        <v>無資料</v>
      </c>
      <c r="G385" s="7" t="e">
        <f>VLOOKUP(A385,Sheet5!$A$2:$D$415,4,FALSE)</f>
        <v>#N/A</v>
      </c>
      <c r="H385" s="7" t="e">
        <f>VLOOKUP(A385,Sheet5!$A$2:$D$415,3,FALSE)</f>
        <v>#N/A</v>
      </c>
      <c r="I385" s="7">
        <f>VLOOKUP(A385,'1201-29周均耗用'!$A$1:$C$602,3,FALSE)</f>
        <v>2.2</v>
      </c>
    </row>
    <row r="386" spans="1:9">
      <c r="A386" s="13" t="s">
        <v>777</v>
      </c>
      <c r="B386" s="14" t="s">
        <v>778</v>
      </c>
      <c r="C386" s="13">
        <v>0</v>
      </c>
      <c r="D386" s="7">
        <f>IFERROR(VLOOKUP(A386,'1227-29耗量'!$A$1:$C$602,3,FALSE),0)</f>
        <v>0</v>
      </c>
      <c r="E386" s="7">
        <f t="shared" si="10"/>
        <v>0</v>
      </c>
      <c r="F386" s="7" t="str">
        <f t="shared" si="11"/>
        <v>無資料</v>
      </c>
      <c r="G386" s="7" t="e">
        <f>VLOOKUP(A386,Sheet5!$A$2:$D$415,4,FALSE)</f>
        <v>#N/A</v>
      </c>
      <c r="H386" s="7" t="e">
        <f>VLOOKUP(A386,Sheet5!$A$2:$D$415,3,FALSE)</f>
        <v>#N/A</v>
      </c>
      <c r="I386" s="7" t="e">
        <f>VLOOKUP(A386,'1201-29周均耗用'!$A$1:$C$602,3,FALSE)</f>
        <v>#N/A</v>
      </c>
    </row>
    <row r="387" spans="1:9">
      <c r="A387" s="13" t="s">
        <v>779</v>
      </c>
      <c r="B387" s="14" t="s">
        <v>780</v>
      </c>
      <c r="C387" s="13">
        <v>0</v>
      </c>
      <c r="D387" s="7">
        <f>IFERROR(VLOOKUP(A387,'1227-29耗量'!$A$1:$C$602,3,FALSE),0)</f>
        <v>0</v>
      </c>
      <c r="E387" s="7">
        <f t="shared" ref="E387:E450" si="12">C387-D387</f>
        <v>0</v>
      </c>
      <c r="F387" s="7" t="str">
        <f t="shared" ref="F387:F450" si="13">IFERROR(IF(E387=G387,"OK","錯誤"),"無資料")</f>
        <v>無資料</v>
      </c>
      <c r="G387" s="7" t="e">
        <f>VLOOKUP(A387,Sheet5!$A$2:$D$415,4,FALSE)</f>
        <v>#N/A</v>
      </c>
      <c r="H387" s="7" t="e">
        <f>VLOOKUP(A387,Sheet5!$A$2:$D$415,3,FALSE)</f>
        <v>#N/A</v>
      </c>
      <c r="I387" s="7" t="e">
        <f>VLOOKUP(A387,'1201-29周均耗用'!$A$1:$C$602,3,FALSE)</f>
        <v>#N/A</v>
      </c>
    </row>
    <row r="388" spans="1:9">
      <c r="A388" s="13" t="s">
        <v>781</v>
      </c>
      <c r="B388" s="14" t="s">
        <v>782</v>
      </c>
      <c r="C388" s="13">
        <v>14</v>
      </c>
      <c r="D388" s="7">
        <f>IFERROR(VLOOKUP(A388,'1227-29耗量'!$A$1:$C$602,3,FALSE),0)</f>
        <v>0</v>
      </c>
      <c r="E388" s="7">
        <f t="shared" si="12"/>
        <v>14</v>
      </c>
      <c r="F388" s="7" t="str">
        <f t="shared" si="13"/>
        <v>錯誤</v>
      </c>
      <c r="G388" s="7">
        <f>VLOOKUP(A388,Sheet5!$A$2:$D$415,4,FALSE)</f>
        <v>8</v>
      </c>
      <c r="H388" s="7">
        <f>VLOOKUP(A388,Sheet5!$A$2:$D$415,3,FALSE)</f>
        <v>20</v>
      </c>
      <c r="I388" s="7" t="e">
        <f>VLOOKUP(A388,'1201-29周均耗用'!$A$1:$C$602,3,FALSE)</f>
        <v>#N/A</v>
      </c>
    </row>
    <row r="389" spans="1:9">
      <c r="A389" s="13" t="s">
        <v>783</v>
      </c>
      <c r="B389" s="14" t="s">
        <v>784</v>
      </c>
      <c r="C389" s="13">
        <v>0</v>
      </c>
      <c r="D389" s="7">
        <f>IFERROR(VLOOKUP(A389,'1227-29耗量'!$A$1:$C$602,3,FALSE),0)</f>
        <v>0</v>
      </c>
      <c r="E389" s="7">
        <f t="shared" si="12"/>
        <v>0</v>
      </c>
      <c r="F389" s="7" t="str">
        <f t="shared" si="13"/>
        <v>無資料</v>
      </c>
      <c r="G389" s="7" t="e">
        <f>VLOOKUP(A389,Sheet5!$A$2:$D$415,4,FALSE)</f>
        <v>#N/A</v>
      </c>
      <c r="H389" s="7" t="e">
        <f>VLOOKUP(A389,Sheet5!$A$2:$D$415,3,FALSE)</f>
        <v>#N/A</v>
      </c>
      <c r="I389" s="7" t="e">
        <f>VLOOKUP(A389,'1201-29周均耗用'!$A$1:$C$602,3,FALSE)</f>
        <v>#N/A</v>
      </c>
    </row>
    <row r="390" spans="1:9">
      <c r="A390" s="13" t="s">
        <v>785</v>
      </c>
      <c r="B390" s="14" t="s">
        <v>786</v>
      </c>
      <c r="C390" s="13">
        <v>0</v>
      </c>
      <c r="D390" s="7">
        <f>IFERROR(VLOOKUP(A390,'1227-29耗量'!$A$1:$C$602,3,FALSE),0)</f>
        <v>0</v>
      </c>
      <c r="E390" s="7">
        <f t="shared" si="12"/>
        <v>0</v>
      </c>
      <c r="F390" s="7" t="str">
        <f t="shared" si="13"/>
        <v>無資料</v>
      </c>
      <c r="G390" s="7" t="e">
        <f>VLOOKUP(A390,Sheet5!$A$2:$D$415,4,FALSE)</f>
        <v>#N/A</v>
      </c>
      <c r="H390" s="7" t="e">
        <f>VLOOKUP(A390,Sheet5!$A$2:$D$415,3,FALSE)</f>
        <v>#N/A</v>
      </c>
      <c r="I390" s="7" t="e">
        <f>VLOOKUP(A390,'1201-29周均耗用'!$A$1:$C$602,3,FALSE)</f>
        <v>#N/A</v>
      </c>
    </row>
    <row r="391" spans="1:9">
      <c r="A391" s="13" t="s">
        <v>787</v>
      </c>
      <c r="B391" s="14" t="s">
        <v>788</v>
      </c>
      <c r="C391" s="13">
        <v>714</v>
      </c>
      <c r="D391" s="7">
        <f>VLOOKUP(A391,'1227-29耗量'!$A$1:$C$602,3,FALSE)</f>
        <v>10</v>
      </c>
      <c r="E391" s="7">
        <f t="shared" si="12"/>
        <v>704</v>
      </c>
      <c r="F391" s="7" t="str">
        <f t="shared" si="13"/>
        <v>錯誤</v>
      </c>
      <c r="G391" s="7">
        <f>VLOOKUP(A391,Sheet5!$A$2:$D$415,4,FALSE)</f>
        <v>392</v>
      </c>
      <c r="H391" s="7">
        <f>VLOOKUP(A391,Sheet5!$A$2:$D$415,3,FALSE)</f>
        <v>336</v>
      </c>
      <c r="I391" s="7">
        <f>VLOOKUP(A391,'1201-29周均耗用'!$A$1:$C$602,3,FALSE)</f>
        <v>94.2</v>
      </c>
    </row>
    <row r="392" spans="1:9">
      <c r="A392" s="13" t="s">
        <v>789</v>
      </c>
      <c r="B392" s="14" t="s">
        <v>790</v>
      </c>
      <c r="C392" s="13">
        <v>0</v>
      </c>
      <c r="D392" s="7">
        <f>IFERROR(VLOOKUP(A392,'1227-29耗量'!$A$1:$C$602,3,FALSE),0)</f>
        <v>0</v>
      </c>
      <c r="E392" s="7">
        <f t="shared" si="12"/>
        <v>0</v>
      </c>
      <c r="F392" s="7" t="str">
        <f t="shared" si="13"/>
        <v>無資料</v>
      </c>
      <c r="G392" s="7" t="e">
        <f>VLOOKUP(A392,Sheet5!$A$2:$D$415,4,FALSE)</f>
        <v>#N/A</v>
      </c>
      <c r="H392" s="7" t="e">
        <f>VLOOKUP(A392,Sheet5!$A$2:$D$415,3,FALSE)</f>
        <v>#N/A</v>
      </c>
      <c r="I392" s="7" t="e">
        <f>VLOOKUP(A392,'1201-29周均耗用'!$A$1:$C$602,3,FALSE)</f>
        <v>#N/A</v>
      </c>
    </row>
    <row r="393" spans="1:9">
      <c r="A393" s="13" t="s">
        <v>791</v>
      </c>
      <c r="B393" s="14" t="s">
        <v>792</v>
      </c>
      <c r="C393" s="13">
        <v>250</v>
      </c>
      <c r="D393" s="7">
        <f>IFERROR(VLOOKUP(A393,'1227-29耗量'!$A$1:$C$602,3,FALSE),0)</f>
        <v>0</v>
      </c>
      <c r="E393" s="7">
        <f t="shared" si="12"/>
        <v>250</v>
      </c>
      <c r="F393" s="7" t="str">
        <f t="shared" si="13"/>
        <v>無資料</v>
      </c>
      <c r="G393" s="7" t="e">
        <f>VLOOKUP(A393,Sheet5!$A$2:$D$415,4,FALSE)</f>
        <v>#N/A</v>
      </c>
      <c r="H393" s="7" t="e">
        <f>VLOOKUP(A393,Sheet5!$A$2:$D$415,3,FALSE)</f>
        <v>#N/A</v>
      </c>
      <c r="I393" s="7">
        <f>VLOOKUP(A393,'1201-29周均耗用'!$A$1:$C$602,3,FALSE)</f>
        <v>32</v>
      </c>
    </row>
    <row r="394" spans="1:9">
      <c r="A394" s="13" t="s">
        <v>793</v>
      </c>
      <c r="B394" s="14" t="s">
        <v>794</v>
      </c>
      <c r="C394" s="13">
        <v>36</v>
      </c>
      <c r="D394" s="7">
        <f>VLOOKUP(A394,'1227-29耗量'!$A$1:$C$602,3,FALSE)</f>
        <v>16</v>
      </c>
      <c r="E394" s="7">
        <f t="shared" si="12"/>
        <v>20</v>
      </c>
      <c r="F394" s="7" t="str">
        <f t="shared" si="13"/>
        <v>錯誤</v>
      </c>
      <c r="G394" s="7">
        <f>VLOOKUP(A394,Sheet5!$A$2:$D$415,4,FALSE)</f>
        <v>236</v>
      </c>
      <c r="H394" s="7">
        <f>VLOOKUP(A394,Sheet5!$A$2:$D$415,3,FALSE)</f>
        <v>252</v>
      </c>
      <c r="I394" s="7">
        <f>VLOOKUP(A394,'1201-29周均耗用'!$A$1:$C$602,3,FALSE)</f>
        <v>150.5</v>
      </c>
    </row>
    <row r="395" spans="1:9">
      <c r="A395" s="13" t="s">
        <v>795</v>
      </c>
      <c r="B395" s="14" t="s">
        <v>796</v>
      </c>
      <c r="C395" s="13">
        <v>0</v>
      </c>
      <c r="D395" s="7">
        <f>IFERROR(VLOOKUP(A395,'1227-29耗量'!$A$1:$C$602,3,FALSE),0)</f>
        <v>0</v>
      </c>
      <c r="E395" s="7">
        <f t="shared" si="12"/>
        <v>0</v>
      </c>
      <c r="F395" s="7" t="str">
        <f t="shared" si="13"/>
        <v>無資料</v>
      </c>
      <c r="G395" s="7" t="e">
        <f>VLOOKUP(A395,Sheet5!$A$2:$D$415,4,FALSE)</f>
        <v>#N/A</v>
      </c>
      <c r="H395" s="7" t="e">
        <f>VLOOKUP(A395,Sheet5!$A$2:$D$415,3,FALSE)</f>
        <v>#N/A</v>
      </c>
      <c r="I395" s="7" t="e">
        <f>VLOOKUP(A395,'1201-29周均耗用'!$A$1:$C$602,3,FALSE)</f>
        <v>#N/A</v>
      </c>
    </row>
    <row r="396" spans="1:9">
      <c r="A396" s="13" t="s">
        <v>797</v>
      </c>
      <c r="B396" s="14" t="s">
        <v>798</v>
      </c>
      <c r="C396" s="13">
        <v>0</v>
      </c>
      <c r="D396" s="7">
        <f>IFERROR(VLOOKUP(A396,'1227-29耗量'!$A$1:$C$602,3,FALSE),0)</f>
        <v>0</v>
      </c>
      <c r="E396" s="7">
        <f t="shared" si="12"/>
        <v>0</v>
      </c>
      <c r="F396" s="7" t="str">
        <f t="shared" si="13"/>
        <v>無資料</v>
      </c>
      <c r="G396" s="7" t="e">
        <f>VLOOKUP(A396,Sheet5!$A$2:$D$415,4,FALSE)</f>
        <v>#N/A</v>
      </c>
      <c r="H396" s="7" t="e">
        <f>VLOOKUP(A396,Sheet5!$A$2:$D$415,3,FALSE)</f>
        <v>#N/A</v>
      </c>
      <c r="I396" s="7" t="e">
        <f>VLOOKUP(A396,'1201-29周均耗用'!$A$1:$C$602,3,FALSE)</f>
        <v>#N/A</v>
      </c>
    </row>
    <row r="397" spans="1:9">
      <c r="A397" s="13" t="s">
        <v>799</v>
      </c>
      <c r="B397" s="14" t="s">
        <v>800</v>
      </c>
      <c r="C397" s="13">
        <v>34</v>
      </c>
      <c r="D397" s="7">
        <f>IFERROR(VLOOKUP(A397,'1227-29耗量'!$A$1:$C$602,3,FALSE),0)</f>
        <v>0</v>
      </c>
      <c r="E397" s="7">
        <f t="shared" si="12"/>
        <v>34</v>
      </c>
      <c r="F397" s="7" t="str">
        <f t="shared" si="13"/>
        <v>無資料</v>
      </c>
      <c r="G397" s="7" t="e">
        <f>VLOOKUP(A397,Sheet5!$A$2:$D$415,4,FALSE)</f>
        <v>#N/A</v>
      </c>
      <c r="H397" s="7" t="e">
        <f>VLOOKUP(A397,Sheet5!$A$2:$D$415,3,FALSE)</f>
        <v>#N/A</v>
      </c>
      <c r="I397" s="7">
        <f>VLOOKUP(A397,'1201-29周均耗用'!$A$1:$C$602,3,FALSE)</f>
        <v>2</v>
      </c>
    </row>
    <row r="398" spans="1:9">
      <c r="A398" s="13" t="s">
        <v>801</v>
      </c>
      <c r="B398" s="14" t="s">
        <v>802</v>
      </c>
      <c r="C398" s="13">
        <v>0</v>
      </c>
      <c r="D398" s="7">
        <f>IFERROR(VLOOKUP(A398,'1227-29耗量'!$A$1:$C$602,3,FALSE),0)</f>
        <v>0</v>
      </c>
      <c r="E398" s="7">
        <f t="shared" si="12"/>
        <v>0</v>
      </c>
      <c r="F398" s="7" t="str">
        <f t="shared" si="13"/>
        <v>無資料</v>
      </c>
      <c r="G398" s="7" t="e">
        <f>VLOOKUP(A398,Sheet5!$A$2:$D$415,4,FALSE)</f>
        <v>#N/A</v>
      </c>
      <c r="H398" s="7" t="e">
        <f>VLOOKUP(A398,Sheet5!$A$2:$D$415,3,FALSE)</f>
        <v>#N/A</v>
      </c>
      <c r="I398" s="7" t="e">
        <f>VLOOKUP(A398,'1201-29周均耗用'!$A$1:$C$602,3,FALSE)</f>
        <v>#N/A</v>
      </c>
    </row>
    <row r="399" spans="1:9">
      <c r="A399" s="13" t="s">
        <v>803</v>
      </c>
      <c r="B399" s="14" t="s">
        <v>804</v>
      </c>
      <c r="C399" s="13">
        <v>45</v>
      </c>
      <c r="D399" s="7">
        <f>IFERROR(VLOOKUP(A399,'1227-29耗量'!$A$1:$C$602,3,FALSE),0)</f>
        <v>0</v>
      </c>
      <c r="E399" s="7">
        <f t="shared" si="12"/>
        <v>45</v>
      </c>
      <c r="F399" s="7" t="str">
        <f t="shared" si="13"/>
        <v>錯誤</v>
      </c>
      <c r="G399" s="7">
        <f>VLOOKUP(A399,Sheet5!$A$2:$D$415,4,FALSE)</f>
        <v>-144</v>
      </c>
      <c r="H399" s="7">
        <f>VLOOKUP(A399,Sheet5!$A$2:$D$415,3,FALSE)</f>
        <v>100</v>
      </c>
      <c r="I399" s="7">
        <f>VLOOKUP(A399,'1201-29周均耗用'!$A$1:$C$602,3,FALSE)</f>
        <v>-0.2</v>
      </c>
    </row>
    <row r="400" spans="1:9">
      <c r="A400" s="13" t="s">
        <v>805</v>
      </c>
      <c r="B400" s="14" t="s">
        <v>806</v>
      </c>
      <c r="C400" s="13">
        <v>0</v>
      </c>
      <c r="D400" s="7">
        <f>IFERROR(VLOOKUP(A400,'1227-29耗量'!$A$1:$C$602,3,FALSE),0)</f>
        <v>0</v>
      </c>
      <c r="E400" s="7">
        <f t="shared" si="12"/>
        <v>0</v>
      </c>
      <c r="F400" s="7" t="str">
        <f t="shared" si="13"/>
        <v>無資料</v>
      </c>
      <c r="G400" s="7" t="e">
        <f>VLOOKUP(A400,Sheet5!$A$2:$D$415,4,FALSE)</f>
        <v>#N/A</v>
      </c>
      <c r="H400" s="7" t="e">
        <f>VLOOKUP(A400,Sheet5!$A$2:$D$415,3,FALSE)</f>
        <v>#N/A</v>
      </c>
      <c r="I400" s="7" t="e">
        <f>VLOOKUP(A400,'1201-29周均耗用'!$A$1:$C$602,3,FALSE)</f>
        <v>#N/A</v>
      </c>
    </row>
    <row r="401" spans="1:9">
      <c r="A401" s="13" t="s">
        <v>807</v>
      </c>
      <c r="B401" s="14" t="s">
        <v>808</v>
      </c>
      <c r="C401" s="13">
        <v>8</v>
      </c>
      <c r="D401" s="7">
        <f>VLOOKUP(A401,'1227-29耗量'!$A$1:$C$602,3,FALSE)</f>
        <v>1</v>
      </c>
      <c r="E401" s="7">
        <f t="shared" si="12"/>
        <v>7</v>
      </c>
      <c r="F401" s="7" t="str">
        <f t="shared" si="13"/>
        <v>錯誤</v>
      </c>
      <c r="G401" s="7">
        <f>VLOOKUP(A401,Sheet5!$A$2:$D$415,4,FALSE)</f>
        <v>4</v>
      </c>
      <c r="H401" s="7">
        <f>VLOOKUP(A401,Sheet5!$A$2:$D$415,3,FALSE)</f>
        <v>6</v>
      </c>
      <c r="I401" s="7">
        <f>VLOOKUP(A401,'1201-29周均耗用'!$A$1:$C$602,3,FALSE)</f>
        <v>2.2</v>
      </c>
    </row>
    <row r="402" spans="1:9">
      <c r="A402" s="13" t="s">
        <v>809</v>
      </c>
      <c r="B402" s="14" t="s">
        <v>810</v>
      </c>
      <c r="C402" s="13">
        <v>0</v>
      </c>
      <c r="D402" s="7">
        <f>IFERROR(VLOOKUP(A402,'1227-29耗量'!$A$1:$C$602,3,FALSE),0)</f>
        <v>0</v>
      </c>
      <c r="E402" s="7">
        <f t="shared" si="12"/>
        <v>0</v>
      </c>
      <c r="F402" s="7" t="str">
        <f t="shared" si="13"/>
        <v>無資料</v>
      </c>
      <c r="G402" s="7" t="e">
        <f>VLOOKUP(A402,Sheet5!$A$2:$D$415,4,FALSE)</f>
        <v>#N/A</v>
      </c>
      <c r="H402" s="7" t="e">
        <f>VLOOKUP(A402,Sheet5!$A$2:$D$415,3,FALSE)</f>
        <v>#N/A</v>
      </c>
      <c r="I402" s="7" t="e">
        <f>VLOOKUP(A402,'1201-29周均耗用'!$A$1:$C$602,3,FALSE)</f>
        <v>#N/A</v>
      </c>
    </row>
    <row r="403" spans="1:9">
      <c r="A403" s="13" t="s">
        <v>811</v>
      </c>
      <c r="B403" s="14" t="s">
        <v>812</v>
      </c>
      <c r="C403" s="13">
        <v>64</v>
      </c>
      <c r="D403" s="7">
        <f>VLOOKUP(A403,'1227-29耗量'!$A$1:$C$602,3,FALSE)</f>
        <v>8</v>
      </c>
      <c r="E403" s="7">
        <f t="shared" si="12"/>
        <v>56</v>
      </c>
      <c r="F403" s="7" t="str">
        <f t="shared" si="13"/>
        <v>錯誤</v>
      </c>
      <c r="G403" s="7">
        <f>VLOOKUP(A403,Sheet5!$A$2:$D$415,4,FALSE)</f>
        <v>42</v>
      </c>
      <c r="H403" s="7">
        <f>VLOOKUP(A403,Sheet5!$A$2:$D$415,3,FALSE)</f>
        <v>144</v>
      </c>
      <c r="I403" s="7">
        <f>VLOOKUP(A403,'1201-29周均耗用'!$A$1:$C$602,3,FALSE)</f>
        <v>30.5</v>
      </c>
    </row>
    <row r="404" spans="1:9">
      <c r="A404" s="13" t="s">
        <v>813</v>
      </c>
      <c r="B404" s="14" t="s">
        <v>814</v>
      </c>
      <c r="C404" s="13">
        <v>0</v>
      </c>
      <c r="D404" s="7">
        <f>IFERROR(VLOOKUP(A404,'1227-29耗量'!$A$1:$C$602,3,FALSE),0)</f>
        <v>0</v>
      </c>
      <c r="E404" s="7">
        <f t="shared" si="12"/>
        <v>0</v>
      </c>
      <c r="F404" s="7" t="str">
        <f t="shared" si="13"/>
        <v>無資料</v>
      </c>
      <c r="G404" s="7" t="e">
        <f>VLOOKUP(A404,Sheet5!$A$2:$D$415,4,FALSE)</f>
        <v>#N/A</v>
      </c>
      <c r="H404" s="7" t="e">
        <f>VLOOKUP(A404,Sheet5!$A$2:$D$415,3,FALSE)</f>
        <v>#N/A</v>
      </c>
      <c r="I404" s="7">
        <f>VLOOKUP(A404,'1201-29周均耗用'!$A$1:$C$602,3,FALSE)</f>
        <v>4.8</v>
      </c>
    </row>
    <row r="405" spans="1:9">
      <c r="A405" s="13" t="s">
        <v>815</v>
      </c>
      <c r="B405" s="14" t="s">
        <v>816</v>
      </c>
      <c r="C405" s="13">
        <v>0</v>
      </c>
      <c r="D405" s="7">
        <f>IFERROR(VLOOKUP(A405,'1227-29耗量'!$A$1:$C$602,3,FALSE),0)</f>
        <v>0</v>
      </c>
      <c r="E405" s="7">
        <f t="shared" si="12"/>
        <v>0</v>
      </c>
      <c r="F405" s="7" t="str">
        <f t="shared" si="13"/>
        <v>無資料</v>
      </c>
      <c r="G405" s="7" t="e">
        <f>VLOOKUP(A405,Sheet5!$A$2:$D$415,4,FALSE)</f>
        <v>#N/A</v>
      </c>
      <c r="H405" s="7" t="e">
        <f>VLOOKUP(A405,Sheet5!$A$2:$D$415,3,FALSE)</f>
        <v>#N/A</v>
      </c>
      <c r="I405" s="7" t="e">
        <f>VLOOKUP(A405,'1201-29周均耗用'!$A$1:$C$602,3,FALSE)</f>
        <v>#N/A</v>
      </c>
    </row>
    <row r="406" spans="1:9">
      <c r="A406" s="13" t="s">
        <v>817</v>
      </c>
      <c r="B406" s="14" t="s">
        <v>818</v>
      </c>
      <c r="C406" s="13">
        <v>0</v>
      </c>
      <c r="D406" s="7">
        <f>IFERROR(VLOOKUP(A406,'1227-29耗量'!$A$1:$C$602,3,FALSE),0)</f>
        <v>0</v>
      </c>
      <c r="E406" s="7">
        <f t="shared" si="12"/>
        <v>0</v>
      </c>
      <c r="F406" s="7" t="str">
        <f t="shared" si="13"/>
        <v>無資料</v>
      </c>
      <c r="G406" s="7" t="e">
        <f>VLOOKUP(A406,Sheet5!$A$2:$D$415,4,FALSE)</f>
        <v>#N/A</v>
      </c>
      <c r="H406" s="7" t="e">
        <f>VLOOKUP(A406,Sheet5!$A$2:$D$415,3,FALSE)</f>
        <v>#N/A</v>
      </c>
      <c r="I406" s="7" t="e">
        <f>VLOOKUP(A406,'1201-29周均耗用'!$A$1:$C$602,3,FALSE)</f>
        <v>#N/A</v>
      </c>
    </row>
    <row r="407" spans="1:9">
      <c r="A407" s="13" t="s">
        <v>819</v>
      </c>
      <c r="B407" s="14" t="s">
        <v>820</v>
      </c>
      <c r="C407" s="13">
        <v>114</v>
      </c>
      <c r="D407" s="7">
        <f>IFERROR(VLOOKUP(A407,'1227-29耗量'!$A$1:$C$602,3,FALSE),0)</f>
        <v>3</v>
      </c>
      <c r="E407" s="7">
        <f t="shared" si="12"/>
        <v>111</v>
      </c>
      <c r="F407" s="7" t="str">
        <f t="shared" si="13"/>
        <v>無資料</v>
      </c>
      <c r="G407" s="7" t="e">
        <f>VLOOKUP(A407,Sheet5!$A$2:$D$415,4,FALSE)</f>
        <v>#N/A</v>
      </c>
      <c r="H407" s="7" t="e">
        <f>VLOOKUP(A407,Sheet5!$A$2:$D$415,3,FALSE)</f>
        <v>#N/A</v>
      </c>
      <c r="I407" s="7">
        <f>VLOOKUP(A407,'1201-29周均耗用'!$A$1:$C$602,3,FALSE)</f>
        <v>15.8</v>
      </c>
    </row>
    <row r="408" spans="1:9">
      <c r="A408" s="13" t="s">
        <v>821</v>
      </c>
      <c r="B408" s="14" t="s">
        <v>822</v>
      </c>
      <c r="C408" s="13">
        <v>0</v>
      </c>
      <c r="D408" s="7">
        <f>IFERROR(VLOOKUP(A408,'1227-29耗量'!$A$1:$C$602,3,FALSE),0)</f>
        <v>27</v>
      </c>
      <c r="E408" s="7">
        <f t="shared" si="12"/>
        <v>-27</v>
      </c>
      <c r="F408" s="7" t="str">
        <f t="shared" si="13"/>
        <v>無資料</v>
      </c>
      <c r="G408" s="7" t="e">
        <f>VLOOKUP(A408,Sheet5!$A$2:$D$415,4,FALSE)</f>
        <v>#N/A</v>
      </c>
      <c r="H408" s="7" t="e">
        <f>VLOOKUP(A408,Sheet5!$A$2:$D$415,3,FALSE)</f>
        <v>#N/A</v>
      </c>
      <c r="I408" s="7">
        <f>VLOOKUP(A408,'1201-29周均耗用'!$A$1:$C$602,3,FALSE)</f>
        <v>23.2</v>
      </c>
    </row>
    <row r="409" spans="1:9">
      <c r="A409" s="13" t="s">
        <v>823</v>
      </c>
      <c r="B409" s="14" t="s">
        <v>824</v>
      </c>
      <c r="C409" s="13">
        <v>114</v>
      </c>
      <c r="D409" s="7">
        <f>IFERROR(VLOOKUP(A409,'1227-29耗量'!$A$1:$C$602,3,FALSE),0)</f>
        <v>0</v>
      </c>
      <c r="E409" s="7">
        <f t="shared" si="12"/>
        <v>114</v>
      </c>
      <c r="F409" s="7" t="str">
        <f t="shared" si="13"/>
        <v>無資料</v>
      </c>
      <c r="G409" s="7" t="e">
        <f>VLOOKUP(A409,Sheet5!$A$2:$D$415,4,FALSE)</f>
        <v>#N/A</v>
      </c>
      <c r="H409" s="7" t="e">
        <f>VLOOKUP(A409,Sheet5!$A$2:$D$415,3,FALSE)</f>
        <v>#N/A</v>
      </c>
      <c r="I409" s="7">
        <f>VLOOKUP(A409,'1201-29周均耗用'!$A$1:$C$602,3,FALSE)</f>
        <v>7.5</v>
      </c>
    </row>
    <row r="410" spans="1:9">
      <c r="A410" s="13" t="s">
        <v>825</v>
      </c>
      <c r="B410" s="14" t="s">
        <v>826</v>
      </c>
      <c r="C410" s="13">
        <v>135</v>
      </c>
      <c r="D410" s="7">
        <f>IFERROR(VLOOKUP(A410,'1227-29耗量'!$A$1:$C$602,3,FALSE),0)</f>
        <v>0</v>
      </c>
      <c r="E410" s="7">
        <f t="shared" si="12"/>
        <v>135</v>
      </c>
      <c r="F410" s="7" t="str">
        <f t="shared" si="13"/>
        <v>無資料</v>
      </c>
      <c r="G410" s="7" t="e">
        <f>VLOOKUP(A410,Sheet5!$A$2:$D$415,4,FALSE)</f>
        <v>#N/A</v>
      </c>
      <c r="H410" s="7" t="e">
        <f>VLOOKUP(A410,Sheet5!$A$2:$D$415,3,FALSE)</f>
        <v>#N/A</v>
      </c>
      <c r="I410" s="7">
        <f>VLOOKUP(A410,'1201-29周均耗用'!$A$1:$C$602,3,FALSE)</f>
        <v>0.2</v>
      </c>
    </row>
    <row r="411" spans="1:9">
      <c r="A411" s="13" t="s">
        <v>827</v>
      </c>
      <c r="B411" s="14" t="s">
        <v>828</v>
      </c>
      <c r="C411" s="13">
        <v>1</v>
      </c>
      <c r="D411" s="7">
        <f>IFERROR(VLOOKUP(A411,'1227-29耗量'!$A$1:$C$602,3,FALSE),0)</f>
        <v>0</v>
      </c>
      <c r="E411" s="7">
        <f t="shared" si="12"/>
        <v>1</v>
      </c>
      <c r="F411" s="7" t="str">
        <f t="shared" si="13"/>
        <v>無資料</v>
      </c>
      <c r="G411" s="7" t="e">
        <f>VLOOKUP(A411,Sheet5!$A$2:$D$415,4,FALSE)</f>
        <v>#N/A</v>
      </c>
      <c r="H411" s="7" t="e">
        <f>VLOOKUP(A411,Sheet5!$A$2:$D$415,3,FALSE)</f>
        <v>#N/A</v>
      </c>
      <c r="I411" s="7" t="e">
        <f>VLOOKUP(A411,'1201-29周均耗用'!$A$1:$C$602,3,FALSE)</f>
        <v>#N/A</v>
      </c>
    </row>
    <row r="412" spans="1:9">
      <c r="A412" s="13" t="s">
        <v>829</v>
      </c>
      <c r="B412" s="14" t="s">
        <v>830</v>
      </c>
      <c r="C412" s="13">
        <v>38</v>
      </c>
      <c r="D412" s="7">
        <f>IFERROR(VLOOKUP(A412,'1227-29耗量'!$A$1:$C$602,3,FALSE),0)</f>
        <v>0</v>
      </c>
      <c r="E412" s="7">
        <f t="shared" si="12"/>
        <v>38</v>
      </c>
      <c r="F412" s="7" t="str">
        <f t="shared" si="13"/>
        <v>無資料</v>
      </c>
      <c r="G412" s="7" t="e">
        <f>VLOOKUP(A412,Sheet5!$A$2:$D$415,4,FALSE)</f>
        <v>#N/A</v>
      </c>
      <c r="H412" s="7" t="e">
        <f>VLOOKUP(A412,Sheet5!$A$2:$D$415,3,FALSE)</f>
        <v>#N/A</v>
      </c>
      <c r="I412" s="7" t="e">
        <f>VLOOKUP(A412,'1201-29周均耗用'!$A$1:$C$602,3,FALSE)</f>
        <v>#N/A</v>
      </c>
    </row>
    <row r="413" spans="1:9">
      <c r="A413" s="13" t="s">
        <v>831</v>
      </c>
      <c r="B413" s="14" t="s">
        <v>832</v>
      </c>
      <c r="C413" s="13">
        <v>0</v>
      </c>
      <c r="D413" s="7">
        <f>IFERROR(VLOOKUP(A413,'1227-29耗量'!$A$1:$C$602,3,FALSE),0)</f>
        <v>0</v>
      </c>
      <c r="E413" s="7">
        <f t="shared" si="12"/>
        <v>0</v>
      </c>
      <c r="F413" s="7" t="str">
        <f t="shared" si="13"/>
        <v>無資料</v>
      </c>
      <c r="G413" s="7" t="e">
        <f>VLOOKUP(A413,Sheet5!$A$2:$D$415,4,FALSE)</f>
        <v>#N/A</v>
      </c>
      <c r="H413" s="7" t="e">
        <f>VLOOKUP(A413,Sheet5!$A$2:$D$415,3,FALSE)</f>
        <v>#N/A</v>
      </c>
      <c r="I413" s="7" t="e">
        <f>VLOOKUP(A413,'1201-29周均耗用'!$A$1:$C$602,3,FALSE)</f>
        <v>#N/A</v>
      </c>
    </row>
    <row r="414" spans="1:9">
      <c r="A414" s="13" t="s">
        <v>833</v>
      </c>
      <c r="B414" s="14" t="s">
        <v>834</v>
      </c>
      <c r="C414" s="13">
        <v>1252</v>
      </c>
      <c r="D414" s="7">
        <f>IFERROR(VLOOKUP(A414,'1227-29耗量'!$A$1:$C$602,3,FALSE),0)</f>
        <v>83</v>
      </c>
      <c r="E414" s="7">
        <f t="shared" si="12"/>
        <v>1169</v>
      </c>
      <c r="F414" s="7" t="str">
        <f t="shared" si="13"/>
        <v>無資料</v>
      </c>
      <c r="G414" s="7" t="e">
        <f>VLOOKUP(A414,Sheet5!$A$2:$D$415,4,FALSE)</f>
        <v>#N/A</v>
      </c>
      <c r="H414" s="7" t="e">
        <f>VLOOKUP(A414,Sheet5!$A$2:$D$415,3,FALSE)</f>
        <v>#N/A</v>
      </c>
      <c r="I414" s="7">
        <f>VLOOKUP(A414,'1201-29周均耗用'!$A$1:$C$602,3,FALSE)</f>
        <v>455.2</v>
      </c>
    </row>
    <row r="415" spans="1:9">
      <c r="A415" s="13" t="s">
        <v>835</v>
      </c>
      <c r="B415" s="14" t="s">
        <v>836</v>
      </c>
      <c r="C415" s="13">
        <v>509</v>
      </c>
      <c r="D415" s="7">
        <f>VLOOKUP(A415,'1227-29耗量'!$A$1:$C$602,3,FALSE)</f>
        <v>11</v>
      </c>
      <c r="E415" s="7">
        <f t="shared" si="12"/>
        <v>498</v>
      </c>
      <c r="F415" s="7" t="str">
        <f t="shared" si="13"/>
        <v>錯誤</v>
      </c>
      <c r="G415" s="7">
        <f>VLOOKUP(A415,Sheet5!$A$2:$D$415,4,FALSE)</f>
        <v>191</v>
      </c>
      <c r="H415" s="7">
        <f>VLOOKUP(A415,Sheet5!$A$2:$D$415,3,FALSE)</f>
        <v>500</v>
      </c>
      <c r="I415" s="7">
        <f>VLOOKUP(A415,'1201-29周均耗用'!$A$1:$C$602,3,FALSE)</f>
        <v>76.2</v>
      </c>
    </row>
    <row r="416" spans="1:9">
      <c r="A416" s="13" t="s">
        <v>837</v>
      </c>
      <c r="B416" s="14" t="s">
        <v>838</v>
      </c>
      <c r="C416" s="13">
        <v>440</v>
      </c>
      <c r="D416" s="7">
        <f>IFERROR(VLOOKUP(A416,'1227-29耗量'!$A$1:$C$602,3,FALSE),0)</f>
        <v>31</v>
      </c>
      <c r="E416" s="7">
        <f t="shared" si="12"/>
        <v>409</v>
      </c>
      <c r="F416" s="7" t="str">
        <f t="shared" si="13"/>
        <v>無資料</v>
      </c>
      <c r="G416" s="7" t="e">
        <f>VLOOKUP(A416,Sheet5!$A$2:$D$415,4,FALSE)</f>
        <v>#N/A</v>
      </c>
      <c r="H416" s="7" t="e">
        <f>VLOOKUP(A416,Sheet5!$A$2:$D$415,3,FALSE)</f>
        <v>#N/A</v>
      </c>
      <c r="I416" s="7">
        <f>VLOOKUP(A416,'1201-29周均耗用'!$A$1:$C$602,3,FALSE)</f>
        <v>154.8</v>
      </c>
    </row>
    <row r="417" spans="1:9">
      <c r="A417" s="13" t="s">
        <v>839</v>
      </c>
      <c r="B417" s="14" t="s">
        <v>840</v>
      </c>
      <c r="C417" s="13">
        <v>224</v>
      </c>
      <c r="D417" s="7">
        <f>VLOOKUP(A417,'1227-29耗量'!$A$1:$C$602,3,FALSE)</f>
        <v>14</v>
      </c>
      <c r="E417" s="7">
        <f t="shared" si="12"/>
        <v>210</v>
      </c>
      <c r="F417" s="7" t="str">
        <f t="shared" si="13"/>
        <v>錯誤</v>
      </c>
      <c r="G417" s="7">
        <f>VLOOKUP(A417,Sheet5!$A$2:$D$415,4,FALSE)</f>
        <v>113</v>
      </c>
      <c r="H417" s="7">
        <f>VLOOKUP(A417,Sheet5!$A$2:$D$415,3,FALSE)</f>
        <v>288</v>
      </c>
      <c r="I417" s="7" t="e">
        <f>VLOOKUP(A417,'1201-29周均耗用'!$A$1:$C$602,3,FALSE)</f>
        <v>#N/A</v>
      </c>
    </row>
    <row r="418" spans="1:9">
      <c r="A418" s="13" t="s">
        <v>841</v>
      </c>
      <c r="B418" s="14" t="s">
        <v>842</v>
      </c>
      <c r="C418" s="13">
        <v>23</v>
      </c>
      <c r="D418" s="7">
        <f>IFERROR(VLOOKUP(A418,'1227-29耗量'!$A$1:$C$602,3,FALSE),0)</f>
        <v>0</v>
      </c>
      <c r="E418" s="7">
        <f t="shared" si="12"/>
        <v>23</v>
      </c>
      <c r="F418" s="7" t="str">
        <f t="shared" si="13"/>
        <v>錯誤</v>
      </c>
      <c r="G418" s="7">
        <f>VLOOKUP(A418,Sheet5!$A$2:$D$415,4,FALSE)</f>
        <v>9</v>
      </c>
      <c r="H418" s="7">
        <f>VLOOKUP(A418,Sheet5!$A$2:$D$415,3,FALSE)</f>
        <v>22</v>
      </c>
      <c r="I418" s="7">
        <f>VLOOKUP(A418,'1201-29周均耗用'!$A$1:$C$602,3,FALSE)</f>
        <v>4.8</v>
      </c>
    </row>
    <row r="419" spans="1:9">
      <c r="A419" s="13" t="s">
        <v>843</v>
      </c>
      <c r="B419" s="14" t="s">
        <v>844</v>
      </c>
      <c r="C419" s="13">
        <v>13</v>
      </c>
      <c r="D419" s="7">
        <f>IFERROR(VLOOKUP(A419,'1227-29耗量'!$A$1:$C$602,3,FALSE),0)</f>
        <v>0</v>
      </c>
      <c r="E419" s="7">
        <f t="shared" si="12"/>
        <v>13</v>
      </c>
      <c r="F419" s="7" t="str">
        <f t="shared" si="13"/>
        <v>無資料</v>
      </c>
      <c r="G419" s="7" t="e">
        <f>VLOOKUP(A419,Sheet5!$A$2:$D$415,4,FALSE)</f>
        <v>#N/A</v>
      </c>
      <c r="H419" s="7" t="e">
        <f>VLOOKUP(A419,Sheet5!$A$2:$D$415,3,FALSE)</f>
        <v>#N/A</v>
      </c>
      <c r="I419" s="7">
        <f>VLOOKUP(A419,'1201-29周均耗用'!$A$1:$C$602,3,FALSE)</f>
        <v>3.8</v>
      </c>
    </row>
    <row r="420" spans="1:9">
      <c r="A420" s="13" t="s">
        <v>845</v>
      </c>
      <c r="B420" s="14" t="s">
        <v>846</v>
      </c>
      <c r="C420" s="13">
        <v>179</v>
      </c>
      <c r="D420" s="7">
        <f>IFERROR(VLOOKUP(A420,'1227-29耗量'!$A$1:$C$602,3,FALSE),0)</f>
        <v>2</v>
      </c>
      <c r="E420" s="7">
        <f t="shared" si="12"/>
        <v>177</v>
      </c>
      <c r="F420" s="7" t="str">
        <f t="shared" si="13"/>
        <v>無資料</v>
      </c>
      <c r="G420" s="7" t="e">
        <f>VLOOKUP(A420,Sheet5!$A$2:$D$415,4,FALSE)</f>
        <v>#N/A</v>
      </c>
      <c r="H420" s="7" t="e">
        <f>VLOOKUP(A420,Sheet5!$A$2:$D$415,3,FALSE)</f>
        <v>#N/A</v>
      </c>
      <c r="I420" s="7">
        <f>VLOOKUP(A420,'1201-29周均耗用'!$A$1:$C$602,3,FALSE)</f>
        <v>75.5</v>
      </c>
    </row>
    <row r="421" spans="1:9">
      <c r="A421" s="13" t="s">
        <v>847</v>
      </c>
      <c r="B421" s="14" t="s">
        <v>848</v>
      </c>
      <c r="C421" s="13">
        <v>30</v>
      </c>
      <c r="D421" s="7">
        <f>IFERROR(VLOOKUP(A421,'1227-29耗量'!$A$1:$C$602,3,FALSE),0)</f>
        <v>5</v>
      </c>
      <c r="E421" s="7">
        <f t="shared" si="12"/>
        <v>25</v>
      </c>
      <c r="F421" s="7" t="str">
        <f t="shared" si="13"/>
        <v>無資料</v>
      </c>
      <c r="G421" s="7" t="e">
        <f>VLOOKUP(A421,Sheet5!$A$2:$D$415,4,FALSE)</f>
        <v>#N/A</v>
      </c>
      <c r="H421" s="7" t="e">
        <f>VLOOKUP(A421,Sheet5!$A$2:$D$415,3,FALSE)</f>
        <v>#N/A</v>
      </c>
      <c r="I421" s="7" t="e">
        <f>VLOOKUP(A421,'1201-29周均耗用'!$A$1:$C$602,3,FALSE)</f>
        <v>#N/A</v>
      </c>
    </row>
    <row r="422" spans="1:9">
      <c r="A422" s="13" t="s">
        <v>849</v>
      </c>
      <c r="B422" s="14" t="s">
        <v>850</v>
      </c>
      <c r="C422" s="13">
        <v>4</v>
      </c>
      <c r="D422" s="7">
        <f>IFERROR(VLOOKUP(A422,'1227-29耗量'!$A$1:$C$602,3,FALSE),0)</f>
        <v>0</v>
      </c>
      <c r="E422" s="7">
        <f t="shared" si="12"/>
        <v>4</v>
      </c>
      <c r="F422" s="7" t="str">
        <f t="shared" si="13"/>
        <v>無資料</v>
      </c>
      <c r="G422" s="7" t="e">
        <f>VLOOKUP(A422,Sheet5!$A$2:$D$415,4,FALSE)</f>
        <v>#N/A</v>
      </c>
      <c r="H422" s="7" t="e">
        <f>VLOOKUP(A422,Sheet5!$A$2:$D$415,3,FALSE)</f>
        <v>#N/A</v>
      </c>
      <c r="I422" s="7" t="e">
        <f>VLOOKUP(A422,'1201-29周均耗用'!$A$1:$C$602,3,FALSE)</f>
        <v>#N/A</v>
      </c>
    </row>
    <row r="423" spans="1:9">
      <c r="A423" s="13" t="s">
        <v>851</v>
      </c>
      <c r="B423" s="14" t="s">
        <v>852</v>
      </c>
      <c r="C423" s="13">
        <v>28</v>
      </c>
      <c r="D423" s="7">
        <f>IFERROR(VLOOKUP(A423,'1227-29耗量'!$A$1:$C$602,3,FALSE),0)</f>
        <v>0</v>
      </c>
      <c r="E423" s="7">
        <f t="shared" si="12"/>
        <v>28</v>
      </c>
      <c r="F423" s="7" t="str">
        <f t="shared" si="13"/>
        <v>無資料</v>
      </c>
      <c r="G423" s="7" t="e">
        <f>VLOOKUP(A423,Sheet5!$A$2:$D$415,4,FALSE)</f>
        <v>#N/A</v>
      </c>
      <c r="H423" s="7" t="e">
        <f>VLOOKUP(A423,Sheet5!$A$2:$D$415,3,FALSE)</f>
        <v>#N/A</v>
      </c>
      <c r="I423" s="7" t="e">
        <f>VLOOKUP(A423,'1201-29周均耗用'!$A$1:$C$602,3,FALSE)</f>
        <v>#N/A</v>
      </c>
    </row>
    <row r="424" spans="1:9">
      <c r="A424" s="13" t="s">
        <v>853</v>
      </c>
      <c r="B424" s="14" t="s">
        <v>854</v>
      </c>
      <c r="C424" s="13">
        <v>152</v>
      </c>
      <c r="D424" s="7">
        <f>VLOOKUP(A424,'1227-29耗量'!$A$1:$C$602,3,FALSE)</f>
        <v>2</v>
      </c>
      <c r="E424" s="7">
        <f t="shared" si="12"/>
        <v>150</v>
      </c>
      <c r="F424" s="7" t="str">
        <f t="shared" si="13"/>
        <v>錯誤</v>
      </c>
      <c r="G424" s="7">
        <f>VLOOKUP(A424,Sheet5!$A$2:$D$415,4,FALSE)</f>
        <v>5</v>
      </c>
      <c r="H424" s="7">
        <f>VLOOKUP(A424,Sheet5!$A$2:$D$415,3,FALSE)</f>
        <v>84</v>
      </c>
      <c r="I424" s="7">
        <f>VLOOKUP(A424,'1201-29周均耗用'!$A$1:$C$602,3,FALSE)</f>
        <v>25</v>
      </c>
    </row>
    <row r="425" spans="1:9">
      <c r="A425" s="13" t="s">
        <v>855</v>
      </c>
      <c r="B425" s="14" t="s">
        <v>856</v>
      </c>
      <c r="C425" s="13">
        <v>41</v>
      </c>
      <c r="D425" s="7">
        <f>IFERROR(VLOOKUP(A425,'1227-29耗量'!$A$1:$C$602,3,FALSE),0)</f>
        <v>0</v>
      </c>
      <c r="E425" s="7">
        <f t="shared" si="12"/>
        <v>41</v>
      </c>
      <c r="F425" s="7" t="str">
        <f t="shared" si="13"/>
        <v>無資料</v>
      </c>
      <c r="G425" s="7" t="e">
        <f>VLOOKUP(A425,Sheet5!$A$2:$D$415,4,FALSE)</f>
        <v>#N/A</v>
      </c>
      <c r="H425" s="7" t="e">
        <f>VLOOKUP(A425,Sheet5!$A$2:$D$415,3,FALSE)</f>
        <v>#N/A</v>
      </c>
      <c r="I425" s="7">
        <f>VLOOKUP(A425,'1201-29周均耗用'!$A$1:$C$602,3,FALSE)</f>
        <v>1.8</v>
      </c>
    </row>
    <row r="426" spans="1:9">
      <c r="A426" s="13" t="s">
        <v>857</v>
      </c>
      <c r="B426" s="14" t="s">
        <v>858</v>
      </c>
      <c r="C426" s="13">
        <v>0</v>
      </c>
      <c r="D426" s="7">
        <f>IFERROR(VLOOKUP(A426,'1227-29耗量'!$A$1:$C$602,3,FALSE),0)</f>
        <v>2</v>
      </c>
      <c r="E426" s="7">
        <f t="shared" si="12"/>
        <v>-2</v>
      </c>
      <c r="F426" s="7" t="str">
        <f t="shared" si="13"/>
        <v>無資料</v>
      </c>
      <c r="G426" s="7" t="e">
        <f>VLOOKUP(A426,Sheet5!$A$2:$D$415,4,FALSE)</f>
        <v>#N/A</v>
      </c>
      <c r="H426" s="7" t="e">
        <f>VLOOKUP(A426,Sheet5!$A$2:$D$415,3,FALSE)</f>
        <v>#N/A</v>
      </c>
      <c r="I426" s="7">
        <f>VLOOKUP(A426,'1201-29周均耗用'!$A$1:$C$602,3,FALSE)</f>
        <v>5.2</v>
      </c>
    </row>
    <row r="427" spans="1:9">
      <c r="A427" s="13" t="s">
        <v>859</v>
      </c>
      <c r="B427" s="14" t="s">
        <v>860</v>
      </c>
      <c r="C427" s="13">
        <v>876</v>
      </c>
      <c r="D427" s="7">
        <f>VLOOKUP(A427,'1227-29耗量'!$A$1:$C$602,3,FALSE)</f>
        <v>87</v>
      </c>
      <c r="E427" s="7">
        <f t="shared" si="12"/>
        <v>789</v>
      </c>
      <c r="F427" s="7" t="str">
        <f t="shared" si="13"/>
        <v>錯誤</v>
      </c>
      <c r="G427" s="7">
        <f>VLOOKUP(A427,Sheet5!$A$2:$D$415,4,FALSE)</f>
        <v>462</v>
      </c>
      <c r="H427" s="7">
        <f>VLOOKUP(A427,Sheet5!$A$2:$D$415,3,FALSE)</f>
        <v>1008</v>
      </c>
      <c r="I427" s="7">
        <f>VLOOKUP(A427,'1201-29周均耗用'!$A$1:$C$602,3,FALSE)</f>
        <v>358.2</v>
      </c>
    </row>
    <row r="428" spans="1:9">
      <c r="A428" s="13" t="s">
        <v>861</v>
      </c>
      <c r="B428" s="14" t="s">
        <v>862</v>
      </c>
      <c r="C428" s="13">
        <v>0</v>
      </c>
      <c r="D428" s="7">
        <f>IFERROR(VLOOKUP(A428,'1227-29耗量'!$A$1:$C$602,3,FALSE),0)</f>
        <v>0</v>
      </c>
      <c r="E428" s="7">
        <f t="shared" si="12"/>
        <v>0</v>
      </c>
      <c r="F428" s="7" t="str">
        <f t="shared" si="13"/>
        <v>無資料</v>
      </c>
      <c r="G428" s="7" t="e">
        <f>VLOOKUP(A428,Sheet5!$A$2:$D$415,4,FALSE)</f>
        <v>#N/A</v>
      </c>
      <c r="H428" s="7" t="e">
        <f>VLOOKUP(A428,Sheet5!$A$2:$D$415,3,FALSE)</f>
        <v>#N/A</v>
      </c>
      <c r="I428" s="7" t="e">
        <f>VLOOKUP(A428,'1201-29周均耗用'!$A$1:$C$602,3,FALSE)</f>
        <v>#N/A</v>
      </c>
    </row>
    <row r="429" spans="1:9">
      <c r="A429" s="13" t="s">
        <v>863</v>
      </c>
      <c r="B429" s="14" t="s">
        <v>864</v>
      </c>
      <c r="C429" s="13">
        <v>0</v>
      </c>
      <c r="D429" s="7">
        <f>IFERROR(VLOOKUP(A429,'1227-29耗量'!$A$1:$C$602,3,FALSE),0)</f>
        <v>0</v>
      </c>
      <c r="E429" s="7">
        <f t="shared" si="12"/>
        <v>0</v>
      </c>
      <c r="F429" s="7" t="str">
        <f t="shared" si="13"/>
        <v>無資料</v>
      </c>
      <c r="G429" s="7" t="e">
        <f>VLOOKUP(A429,Sheet5!$A$2:$D$415,4,FALSE)</f>
        <v>#N/A</v>
      </c>
      <c r="H429" s="7" t="e">
        <f>VLOOKUP(A429,Sheet5!$A$2:$D$415,3,FALSE)</f>
        <v>#N/A</v>
      </c>
      <c r="I429" s="7" t="e">
        <f>VLOOKUP(A429,'1201-29周均耗用'!$A$1:$C$602,3,FALSE)</f>
        <v>#N/A</v>
      </c>
    </row>
    <row r="430" spans="1:9">
      <c r="A430" s="13" t="s">
        <v>865</v>
      </c>
      <c r="B430" s="14" t="s">
        <v>866</v>
      </c>
      <c r="C430" s="13">
        <v>0</v>
      </c>
      <c r="D430" s="7">
        <f>IFERROR(VLOOKUP(A430,'1227-29耗量'!$A$1:$C$602,3,FALSE),0)</f>
        <v>0</v>
      </c>
      <c r="E430" s="7">
        <f t="shared" si="12"/>
        <v>0</v>
      </c>
      <c r="F430" s="7" t="str">
        <f t="shared" si="13"/>
        <v>無資料</v>
      </c>
      <c r="G430" s="7" t="e">
        <f>VLOOKUP(A430,Sheet5!$A$2:$D$415,4,FALSE)</f>
        <v>#N/A</v>
      </c>
      <c r="H430" s="7" t="e">
        <f>VLOOKUP(A430,Sheet5!$A$2:$D$415,3,FALSE)</f>
        <v>#N/A</v>
      </c>
      <c r="I430" s="7" t="e">
        <f>VLOOKUP(A430,'1201-29周均耗用'!$A$1:$C$602,3,FALSE)</f>
        <v>#N/A</v>
      </c>
    </row>
    <row r="431" spans="1:9">
      <c r="A431" s="13" t="s">
        <v>867</v>
      </c>
      <c r="B431" s="14" t="s">
        <v>868</v>
      </c>
      <c r="C431" s="13">
        <v>0</v>
      </c>
      <c r="D431" s="7">
        <f>IFERROR(VLOOKUP(A431,'1227-29耗量'!$A$1:$C$602,3,FALSE),0)</f>
        <v>0</v>
      </c>
      <c r="E431" s="7">
        <f t="shared" si="12"/>
        <v>0</v>
      </c>
      <c r="F431" s="7" t="str">
        <f t="shared" si="13"/>
        <v>無資料</v>
      </c>
      <c r="G431" s="7" t="e">
        <f>VLOOKUP(A431,Sheet5!$A$2:$D$415,4,FALSE)</f>
        <v>#N/A</v>
      </c>
      <c r="H431" s="7" t="e">
        <f>VLOOKUP(A431,Sheet5!$A$2:$D$415,3,FALSE)</f>
        <v>#N/A</v>
      </c>
      <c r="I431" s="7" t="e">
        <f>VLOOKUP(A431,'1201-29周均耗用'!$A$1:$C$602,3,FALSE)</f>
        <v>#N/A</v>
      </c>
    </row>
    <row r="432" spans="1:9">
      <c r="A432" s="13" t="s">
        <v>869</v>
      </c>
      <c r="B432" s="14" t="s">
        <v>870</v>
      </c>
      <c r="C432" s="13">
        <v>0</v>
      </c>
      <c r="D432" s="7">
        <f>IFERROR(VLOOKUP(A432,'1227-29耗量'!$A$1:$C$602,3,FALSE),0)</f>
        <v>0</v>
      </c>
      <c r="E432" s="7">
        <f t="shared" si="12"/>
        <v>0</v>
      </c>
      <c r="F432" s="7" t="str">
        <f t="shared" si="13"/>
        <v>無資料</v>
      </c>
      <c r="G432" s="7" t="e">
        <f>VLOOKUP(A432,Sheet5!$A$2:$D$415,4,FALSE)</f>
        <v>#N/A</v>
      </c>
      <c r="H432" s="7" t="e">
        <f>VLOOKUP(A432,Sheet5!$A$2:$D$415,3,FALSE)</f>
        <v>#N/A</v>
      </c>
      <c r="I432" s="7" t="e">
        <f>VLOOKUP(A432,'1201-29周均耗用'!$A$1:$C$602,3,FALSE)</f>
        <v>#N/A</v>
      </c>
    </row>
    <row r="433" spans="1:9">
      <c r="A433" s="13" t="s">
        <v>871</v>
      </c>
      <c r="B433" s="14" t="s">
        <v>872</v>
      </c>
      <c r="C433" s="13">
        <v>0</v>
      </c>
      <c r="D433" s="7">
        <f>IFERROR(VLOOKUP(A433,'1227-29耗量'!$A$1:$C$602,3,FALSE),0)</f>
        <v>0</v>
      </c>
      <c r="E433" s="7">
        <f t="shared" si="12"/>
        <v>0</v>
      </c>
      <c r="F433" s="7" t="str">
        <f t="shared" si="13"/>
        <v>無資料</v>
      </c>
      <c r="G433" s="7" t="e">
        <f>VLOOKUP(A433,Sheet5!$A$2:$D$415,4,FALSE)</f>
        <v>#N/A</v>
      </c>
      <c r="H433" s="7" t="e">
        <f>VLOOKUP(A433,Sheet5!$A$2:$D$415,3,FALSE)</f>
        <v>#N/A</v>
      </c>
      <c r="I433" s="7" t="e">
        <f>VLOOKUP(A433,'1201-29周均耗用'!$A$1:$C$602,3,FALSE)</f>
        <v>#N/A</v>
      </c>
    </row>
    <row r="434" spans="1:9">
      <c r="A434" s="13" t="s">
        <v>873</v>
      </c>
      <c r="B434" s="14" t="s">
        <v>874</v>
      </c>
      <c r="C434" s="13">
        <v>176</v>
      </c>
      <c r="D434" s="7">
        <f>IFERROR(VLOOKUP(A434,'1227-29耗量'!$A$1:$C$602,3,FALSE),0)</f>
        <v>15</v>
      </c>
      <c r="E434" s="7">
        <f t="shared" si="12"/>
        <v>161</v>
      </c>
      <c r="F434" s="7" t="str">
        <f t="shared" si="13"/>
        <v>無資料</v>
      </c>
      <c r="G434" s="7" t="e">
        <f>VLOOKUP(A434,Sheet5!$A$2:$D$415,4,FALSE)</f>
        <v>#N/A</v>
      </c>
      <c r="H434" s="7" t="e">
        <f>VLOOKUP(A434,Sheet5!$A$2:$D$415,3,FALSE)</f>
        <v>#N/A</v>
      </c>
      <c r="I434" s="7">
        <f>VLOOKUP(A434,'1201-29周均耗用'!$A$1:$C$602,3,FALSE)</f>
        <v>97.2</v>
      </c>
    </row>
    <row r="435" spans="1:9">
      <c r="A435" s="13" t="s">
        <v>875</v>
      </c>
      <c r="B435" s="14" t="s">
        <v>876</v>
      </c>
      <c r="C435" s="13">
        <v>0</v>
      </c>
      <c r="D435" s="7">
        <f>IFERROR(VLOOKUP(A435,'1227-29耗量'!$A$1:$C$602,3,FALSE),0)</f>
        <v>0</v>
      </c>
      <c r="E435" s="7">
        <f t="shared" si="12"/>
        <v>0</v>
      </c>
      <c r="F435" s="7" t="str">
        <f t="shared" si="13"/>
        <v>無資料</v>
      </c>
      <c r="G435" s="7" t="e">
        <f>VLOOKUP(A435,Sheet5!$A$2:$D$415,4,FALSE)</f>
        <v>#N/A</v>
      </c>
      <c r="H435" s="7" t="e">
        <f>VLOOKUP(A435,Sheet5!$A$2:$D$415,3,FALSE)</f>
        <v>#N/A</v>
      </c>
      <c r="I435" s="7" t="e">
        <f>VLOOKUP(A435,'1201-29周均耗用'!$A$1:$C$602,3,FALSE)</f>
        <v>#N/A</v>
      </c>
    </row>
    <row r="436" spans="1:9">
      <c r="A436" s="13" t="s">
        <v>877</v>
      </c>
      <c r="B436" s="14" t="s">
        <v>878</v>
      </c>
      <c r="C436" s="13">
        <v>725</v>
      </c>
      <c r="D436" s="7">
        <f>VLOOKUP(A436,'1227-29耗量'!$A$1:$C$602,3,FALSE)</f>
        <v>441</v>
      </c>
      <c r="E436" s="7">
        <f t="shared" si="12"/>
        <v>284</v>
      </c>
      <c r="F436" s="7" t="str">
        <f t="shared" si="13"/>
        <v>錯誤</v>
      </c>
      <c r="G436" s="7">
        <f>VLOOKUP(A436,Sheet5!$A$2:$D$415,4,FALSE)</f>
        <v>2690</v>
      </c>
      <c r="H436" s="7">
        <f>VLOOKUP(A436,Sheet5!$A$2:$D$415,3,FALSE)</f>
        <v>8000</v>
      </c>
      <c r="I436" s="7">
        <f>VLOOKUP(A436,'1201-29周均耗用'!$A$1:$C$602,3,FALSE)</f>
        <v>1907.5</v>
      </c>
    </row>
    <row r="437" spans="1:9">
      <c r="A437" s="13" t="s">
        <v>879</v>
      </c>
      <c r="B437" s="14" t="s">
        <v>880</v>
      </c>
      <c r="C437" s="13">
        <v>143</v>
      </c>
      <c r="D437" s="7">
        <f>IFERROR(VLOOKUP(A437,'1227-29耗量'!$A$1:$C$602,3,FALSE),0)</f>
        <v>3</v>
      </c>
      <c r="E437" s="7">
        <f t="shared" si="12"/>
        <v>140</v>
      </c>
      <c r="F437" s="7" t="str">
        <f t="shared" si="13"/>
        <v>無資料</v>
      </c>
      <c r="G437" s="7" t="e">
        <f>VLOOKUP(A437,Sheet5!$A$2:$D$415,4,FALSE)</f>
        <v>#N/A</v>
      </c>
      <c r="H437" s="7" t="e">
        <f>VLOOKUP(A437,Sheet5!$A$2:$D$415,3,FALSE)</f>
        <v>#N/A</v>
      </c>
      <c r="I437" s="7">
        <f>VLOOKUP(A437,'1201-29周均耗用'!$A$1:$C$602,3,FALSE)</f>
        <v>0.8</v>
      </c>
    </row>
    <row r="438" spans="1:9">
      <c r="A438" s="13" t="s">
        <v>881</v>
      </c>
      <c r="B438" s="14" t="s">
        <v>882</v>
      </c>
      <c r="C438" s="13">
        <v>2</v>
      </c>
      <c r="D438" s="7">
        <f>IFERROR(VLOOKUP(A438,'1227-29耗量'!$A$1:$C$602,3,FALSE),0)</f>
        <v>0</v>
      </c>
      <c r="E438" s="7">
        <f t="shared" si="12"/>
        <v>2</v>
      </c>
      <c r="F438" s="7" t="str">
        <f t="shared" si="13"/>
        <v>錯誤</v>
      </c>
      <c r="G438" s="7">
        <f>VLOOKUP(A438,Sheet5!$A$2:$D$415,4,FALSE)</f>
        <v>0</v>
      </c>
      <c r="H438" s="7">
        <f>VLOOKUP(A438,Sheet5!$A$2:$D$415,3,FALSE)</f>
        <v>4</v>
      </c>
      <c r="I438" s="7">
        <f>VLOOKUP(A438,'1201-29周均耗用'!$A$1:$C$602,3,FALSE)</f>
        <v>1</v>
      </c>
    </row>
    <row r="439" spans="1:9">
      <c r="A439" s="13" t="s">
        <v>883</v>
      </c>
      <c r="B439" s="14" t="s">
        <v>884</v>
      </c>
      <c r="C439" s="13">
        <v>0</v>
      </c>
      <c r="D439" s="7">
        <f>IFERROR(VLOOKUP(A439,'1227-29耗量'!$A$1:$C$602,3,FALSE),0)</f>
        <v>0</v>
      </c>
      <c r="E439" s="7">
        <f t="shared" si="12"/>
        <v>0</v>
      </c>
      <c r="F439" s="7" t="str">
        <f t="shared" si="13"/>
        <v>無資料</v>
      </c>
      <c r="G439" s="7" t="e">
        <f>VLOOKUP(A439,Sheet5!$A$2:$D$415,4,FALSE)</f>
        <v>#N/A</v>
      </c>
      <c r="H439" s="7" t="e">
        <f>VLOOKUP(A439,Sheet5!$A$2:$D$415,3,FALSE)</f>
        <v>#N/A</v>
      </c>
      <c r="I439" s="7" t="e">
        <f>VLOOKUP(A439,'1201-29周均耗用'!$A$1:$C$602,3,FALSE)</f>
        <v>#N/A</v>
      </c>
    </row>
    <row r="440" spans="1:9">
      <c r="A440" s="13" t="s">
        <v>885</v>
      </c>
      <c r="B440" s="14" t="s">
        <v>886</v>
      </c>
      <c r="C440" s="13">
        <v>0</v>
      </c>
      <c r="D440" s="7">
        <f>IFERROR(VLOOKUP(A440,'1227-29耗量'!$A$1:$C$602,3,FALSE),0)</f>
        <v>0</v>
      </c>
      <c r="E440" s="7">
        <f t="shared" si="12"/>
        <v>0</v>
      </c>
      <c r="F440" s="7" t="str">
        <f t="shared" si="13"/>
        <v>無資料</v>
      </c>
      <c r="G440" s="7" t="e">
        <f>VLOOKUP(A440,Sheet5!$A$2:$D$415,4,FALSE)</f>
        <v>#N/A</v>
      </c>
      <c r="H440" s="7" t="e">
        <f>VLOOKUP(A440,Sheet5!$A$2:$D$415,3,FALSE)</f>
        <v>#N/A</v>
      </c>
      <c r="I440" s="7" t="e">
        <f>VLOOKUP(A440,'1201-29周均耗用'!$A$1:$C$602,3,FALSE)</f>
        <v>#N/A</v>
      </c>
    </row>
    <row r="441" spans="1:9">
      <c r="A441" s="13" t="s">
        <v>887</v>
      </c>
      <c r="B441" s="14" t="s">
        <v>888</v>
      </c>
      <c r="C441" s="13">
        <v>0</v>
      </c>
      <c r="D441" s="7">
        <f>IFERROR(VLOOKUP(A441,'1227-29耗量'!$A$1:$C$602,3,FALSE),0)</f>
        <v>0</v>
      </c>
      <c r="E441" s="7">
        <f t="shared" si="12"/>
        <v>0</v>
      </c>
      <c r="F441" s="7" t="str">
        <f t="shared" si="13"/>
        <v>無資料</v>
      </c>
      <c r="G441" s="7" t="e">
        <f>VLOOKUP(A441,Sheet5!$A$2:$D$415,4,FALSE)</f>
        <v>#N/A</v>
      </c>
      <c r="H441" s="7" t="e">
        <f>VLOOKUP(A441,Sheet5!$A$2:$D$415,3,FALSE)</f>
        <v>#N/A</v>
      </c>
      <c r="I441" s="7" t="e">
        <f>VLOOKUP(A441,'1201-29周均耗用'!$A$1:$C$602,3,FALSE)</f>
        <v>#N/A</v>
      </c>
    </row>
    <row r="442" spans="1:9">
      <c r="A442" s="13" t="s">
        <v>889</v>
      </c>
      <c r="B442" s="14" t="s">
        <v>890</v>
      </c>
      <c r="C442" s="13">
        <v>568</v>
      </c>
      <c r="D442" s="7">
        <f>VLOOKUP(A442,'1227-29耗量'!$A$1:$C$602,3,FALSE)</f>
        <v>13</v>
      </c>
      <c r="E442" s="7">
        <f t="shared" si="12"/>
        <v>555</v>
      </c>
      <c r="F442" s="7" t="str">
        <f t="shared" si="13"/>
        <v>錯誤</v>
      </c>
      <c r="G442" s="7">
        <f>VLOOKUP(A442,Sheet5!$A$2:$D$415,4,FALSE)</f>
        <v>258</v>
      </c>
      <c r="H442" s="7">
        <f>VLOOKUP(A442,Sheet5!$A$2:$D$415,3,FALSE)</f>
        <v>308</v>
      </c>
      <c r="I442" s="7">
        <f>VLOOKUP(A442,'1201-29周均耗用'!$A$1:$C$602,3,FALSE)</f>
        <v>163.5</v>
      </c>
    </row>
    <row r="443" spans="1:9">
      <c r="A443" s="13" t="s">
        <v>891</v>
      </c>
      <c r="B443" s="14" t="s">
        <v>892</v>
      </c>
      <c r="C443" s="13">
        <v>43</v>
      </c>
      <c r="D443" s="7">
        <f>IFERROR(VLOOKUP(A443,'1227-29耗量'!$A$1:$C$602,3,FALSE),0)</f>
        <v>-5</v>
      </c>
      <c r="E443" s="7">
        <f t="shared" si="12"/>
        <v>48</v>
      </c>
      <c r="F443" s="7" t="str">
        <f t="shared" si="13"/>
        <v>無資料</v>
      </c>
      <c r="G443" s="7" t="e">
        <f>VLOOKUP(A443,Sheet5!$A$2:$D$415,4,FALSE)</f>
        <v>#N/A</v>
      </c>
      <c r="H443" s="7" t="e">
        <f>VLOOKUP(A443,Sheet5!$A$2:$D$415,3,FALSE)</f>
        <v>#N/A</v>
      </c>
      <c r="I443" s="7">
        <f>VLOOKUP(A443,'1201-29周均耗用'!$A$1:$C$602,3,FALSE)</f>
        <v>8.8</v>
      </c>
    </row>
    <row r="444" spans="1:9">
      <c r="A444" s="13" t="s">
        <v>893</v>
      </c>
      <c r="B444" s="14" t="s">
        <v>894</v>
      </c>
      <c r="C444" s="13">
        <v>231</v>
      </c>
      <c r="D444" s="7">
        <f>IFERROR(VLOOKUP(A444,'1227-29耗量'!$A$1:$C$602,3,FALSE),0)</f>
        <v>1</v>
      </c>
      <c r="E444" s="7">
        <f t="shared" si="12"/>
        <v>230</v>
      </c>
      <c r="F444" s="7" t="str">
        <f t="shared" si="13"/>
        <v>無資料</v>
      </c>
      <c r="G444" s="7" t="e">
        <f>VLOOKUP(A444,Sheet5!$A$2:$D$415,4,FALSE)</f>
        <v>#N/A</v>
      </c>
      <c r="H444" s="7" t="e">
        <f>VLOOKUP(A444,Sheet5!$A$2:$D$415,3,FALSE)</f>
        <v>#N/A</v>
      </c>
      <c r="I444" s="7">
        <f>VLOOKUP(A444,'1201-29周均耗用'!$A$1:$C$602,3,FALSE)</f>
        <v>14.5</v>
      </c>
    </row>
    <row r="445" spans="1:9">
      <c r="A445" s="13" t="s">
        <v>895</v>
      </c>
      <c r="B445" s="14" t="s">
        <v>896</v>
      </c>
      <c r="C445" s="13">
        <v>129</v>
      </c>
      <c r="D445" s="7">
        <f>IFERROR(VLOOKUP(A445,'1227-29耗量'!$A$1:$C$602,3,FALSE),0)</f>
        <v>0</v>
      </c>
      <c r="E445" s="7">
        <f t="shared" si="12"/>
        <v>129</v>
      </c>
      <c r="F445" s="7" t="str">
        <f t="shared" si="13"/>
        <v>無資料</v>
      </c>
      <c r="G445" s="7" t="e">
        <f>VLOOKUP(A445,Sheet5!$A$2:$D$415,4,FALSE)</f>
        <v>#N/A</v>
      </c>
      <c r="H445" s="7" t="e">
        <f>VLOOKUP(A445,Sheet5!$A$2:$D$415,3,FALSE)</f>
        <v>#N/A</v>
      </c>
      <c r="I445" s="7">
        <f>VLOOKUP(A445,'1201-29周均耗用'!$A$1:$C$602,3,FALSE)</f>
        <v>7.2</v>
      </c>
    </row>
    <row r="446" spans="1:9">
      <c r="A446" s="13" t="s">
        <v>897</v>
      </c>
      <c r="B446" s="14" t="s">
        <v>898</v>
      </c>
      <c r="C446" s="13">
        <v>58</v>
      </c>
      <c r="D446" s="7">
        <f>IFERROR(VLOOKUP(A446,'1227-29耗量'!$A$1:$C$602,3,FALSE),0)</f>
        <v>8</v>
      </c>
      <c r="E446" s="7">
        <f t="shared" si="12"/>
        <v>50</v>
      </c>
      <c r="F446" s="7" t="str">
        <f t="shared" si="13"/>
        <v>無資料</v>
      </c>
      <c r="G446" s="7" t="e">
        <f>VLOOKUP(A446,Sheet5!$A$2:$D$415,4,FALSE)</f>
        <v>#N/A</v>
      </c>
      <c r="H446" s="7" t="e">
        <f>VLOOKUP(A446,Sheet5!$A$2:$D$415,3,FALSE)</f>
        <v>#N/A</v>
      </c>
      <c r="I446" s="7" t="e">
        <f>VLOOKUP(A446,'1201-29周均耗用'!$A$1:$C$602,3,FALSE)</f>
        <v>#N/A</v>
      </c>
    </row>
    <row r="447" spans="1:9">
      <c r="A447" s="13" t="s">
        <v>899</v>
      </c>
      <c r="B447" s="14" t="s">
        <v>900</v>
      </c>
      <c r="C447" s="13">
        <v>161</v>
      </c>
      <c r="D447" s="7">
        <f>IFERROR(VLOOKUP(A447,'1227-29耗量'!$A$1:$C$602,3,FALSE),0)</f>
        <v>0</v>
      </c>
      <c r="E447" s="7">
        <f t="shared" si="12"/>
        <v>161</v>
      </c>
      <c r="F447" s="7" t="str">
        <f t="shared" si="13"/>
        <v>無資料</v>
      </c>
      <c r="G447" s="7" t="e">
        <f>VLOOKUP(A447,Sheet5!$A$2:$D$415,4,FALSE)</f>
        <v>#N/A</v>
      </c>
      <c r="H447" s="7" t="e">
        <f>VLOOKUP(A447,Sheet5!$A$2:$D$415,3,FALSE)</f>
        <v>#N/A</v>
      </c>
      <c r="I447" s="7" t="e">
        <f>VLOOKUP(A447,'1201-29周均耗用'!$A$1:$C$602,3,FALSE)</f>
        <v>#N/A</v>
      </c>
    </row>
    <row r="448" spans="1:9">
      <c r="A448" s="13" t="s">
        <v>901</v>
      </c>
      <c r="B448" s="14" t="s">
        <v>902</v>
      </c>
      <c r="C448" s="13">
        <v>80</v>
      </c>
      <c r="D448" s="7">
        <f>IFERROR(VLOOKUP(A448,'1227-29耗量'!$A$1:$C$602,3,FALSE),0)</f>
        <v>0</v>
      </c>
      <c r="E448" s="7">
        <f t="shared" si="12"/>
        <v>80</v>
      </c>
      <c r="F448" s="7" t="str">
        <f t="shared" si="13"/>
        <v>無資料</v>
      </c>
      <c r="G448" s="7" t="e">
        <f>VLOOKUP(A448,Sheet5!$A$2:$D$415,4,FALSE)</f>
        <v>#N/A</v>
      </c>
      <c r="H448" s="7" t="e">
        <f>VLOOKUP(A448,Sheet5!$A$2:$D$415,3,FALSE)</f>
        <v>#N/A</v>
      </c>
      <c r="I448" s="7" t="e">
        <f>VLOOKUP(A448,'1201-29周均耗用'!$A$1:$C$602,3,FALSE)</f>
        <v>#N/A</v>
      </c>
    </row>
    <row r="449" spans="1:9">
      <c r="A449" s="13" t="s">
        <v>903</v>
      </c>
      <c r="B449" s="14" t="s">
        <v>904</v>
      </c>
      <c r="C449" s="13">
        <v>71</v>
      </c>
      <c r="D449" s="7">
        <f>IFERROR(VLOOKUP(A449,'1227-29耗量'!$A$1:$C$602,3,FALSE),0)</f>
        <v>5</v>
      </c>
      <c r="E449" s="7">
        <f t="shared" si="12"/>
        <v>66</v>
      </c>
      <c r="F449" s="7" t="str">
        <f t="shared" si="13"/>
        <v>無資料</v>
      </c>
      <c r="G449" s="7" t="e">
        <f>VLOOKUP(A449,Sheet5!$A$2:$D$415,4,FALSE)</f>
        <v>#N/A</v>
      </c>
      <c r="H449" s="7" t="e">
        <f>VLOOKUP(A449,Sheet5!$A$2:$D$415,3,FALSE)</f>
        <v>#N/A</v>
      </c>
      <c r="I449" s="7" t="e">
        <f>VLOOKUP(A449,'1201-29周均耗用'!$A$1:$C$602,3,FALSE)</f>
        <v>#N/A</v>
      </c>
    </row>
    <row r="450" spans="1:9">
      <c r="A450" s="13" t="s">
        <v>905</v>
      </c>
      <c r="B450" s="14" t="s">
        <v>906</v>
      </c>
      <c r="C450" s="13">
        <v>0</v>
      </c>
      <c r="D450" s="7">
        <f>IFERROR(VLOOKUP(A450,'1227-29耗量'!$A$1:$C$602,3,FALSE),0)</f>
        <v>0</v>
      </c>
      <c r="E450" s="7">
        <f t="shared" si="12"/>
        <v>0</v>
      </c>
      <c r="F450" s="7" t="str">
        <f t="shared" si="13"/>
        <v>無資料</v>
      </c>
      <c r="G450" s="7" t="e">
        <f>VLOOKUP(A450,Sheet5!$A$2:$D$415,4,FALSE)</f>
        <v>#N/A</v>
      </c>
      <c r="H450" s="7" t="e">
        <f>VLOOKUP(A450,Sheet5!$A$2:$D$415,3,FALSE)</f>
        <v>#N/A</v>
      </c>
      <c r="I450" s="7" t="e">
        <f>VLOOKUP(A450,'1201-29周均耗用'!$A$1:$C$602,3,FALSE)</f>
        <v>#N/A</v>
      </c>
    </row>
    <row r="451" spans="1:9">
      <c r="A451" s="13" t="s">
        <v>907</v>
      </c>
      <c r="B451" s="14" t="s">
        <v>908</v>
      </c>
      <c r="C451" s="13">
        <v>0</v>
      </c>
      <c r="D451" s="7">
        <f>IFERROR(VLOOKUP(A451,'1227-29耗量'!$A$1:$C$602,3,FALSE),0)</f>
        <v>0</v>
      </c>
      <c r="E451" s="7">
        <f t="shared" ref="E451:E514" si="14">C451-D451</f>
        <v>0</v>
      </c>
      <c r="F451" s="7" t="str">
        <f t="shared" ref="F451:F514" si="15">IFERROR(IF(E451=G451,"OK","錯誤"),"無資料")</f>
        <v>無資料</v>
      </c>
      <c r="G451" s="7" t="e">
        <f>VLOOKUP(A451,Sheet5!$A$2:$D$415,4,FALSE)</f>
        <v>#N/A</v>
      </c>
      <c r="H451" s="7" t="e">
        <f>VLOOKUP(A451,Sheet5!$A$2:$D$415,3,FALSE)</f>
        <v>#N/A</v>
      </c>
      <c r="I451" s="7" t="e">
        <f>VLOOKUP(A451,'1201-29周均耗用'!$A$1:$C$602,3,FALSE)</f>
        <v>#N/A</v>
      </c>
    </row>
    <row r="452" spans="1:9">
      <c r="A452" s="13" t="s">
        <v>909</v>
      </c>
      <c r="B452" s="14" t="s">
        <v>910</v>
      </c>
      <c r="C452" s="13">
        <v>282</v>
      </c>
      <c r="D452" s="7">
        <f>VLOOKUP(A452,'1227-29耗量'!$A$1:$C$602,3,FALSE)</f>
        <v>20</v>
      </c>
      <c r="E452" s="7">
        <f t="shared" si="14"/>
        <v>262</v>
      </c>
      <c r="F452" s="7" t="str">
        <f t="shared" si="15"/>
        <v>錯誤</v>
      </c>
      <c r="G452" s="7">
        <f>VLOOKUP(A452,Sheet5!$A$2:$D$415,4,FALSE)</f>
        <v>167</v>
      </c>
      <c r="H452" s="7">
        <f>VLOOKUP(A452,Sheet5!$A$2:$D$415,3,FALSE)</f>
        <v>100</v>
      </c>
      <c r="I452" s="7">
        <f>VLOOKUP(A452,'1201-29周均耗用'!$A$1:$C$602,3,FALSE)</f>
        <v>55.5</v>
      </c>
    </row>
    <row r="453" spans="1:9">
      <c r="A453" s="13" t="s">
        <v>911</v>
      </c>
      <c r="B453" s="14" t="s">
        <v>912</v>
      </c>
      <c r="C453" s="13">
        <v>0</v>
      </c>
      <c r="D453" s="7">
        <f>IFERROR(VLOOKUP(A453,'1227-29耗量'!$A$1:$C$602,3,FALSE),0)</f>
        <v>0</v>
      </c>
      <c r="E453" s="7">
        <f t="shared" si="14"/>
        <v>0</v>
      </c>
      <c r="F453" s="7" t="str">
        <f t="shared" si="15"/>
        <v>無資料</v>
      </c>
      <c r="G453" s="7" t="e">
        <f>VLOOKUP(A453,Sheet5!$A$2:$D$415,4,FALSE)</f>
        <v>#N/A</v>
      </c>
      <c r="H453" s="7" t="e">
        <f>VLOOKUP(A453,Sheet5!$A$2:$D$415,3,FALSE)</f>
        <v>#N/A</v>
      </c>
      <c r="I453" s="7" t="e">
        <f>VLOOKUP(A453,'1201-29周均耗用'!$A$1:$C$602,3,FALSE)</f>
        <v>#N/A</v>
      </c>
    </row>
    <row r="454" spans="1:9">
      <c r="A454" s="13" t="s">
        <v>913</v>
      </c>
      <c r="B454" s="14" t="s">
        <v>914</v>
      </c>
      <c r="C454" s="13">
        <v>8</v>
      </c>
      <c r="D454" s="7">
        <f>IFERROR(VLOOKUP(A454,'1227-29耗量'!$A$1:$C$602,3,FALSE),0)</f>
        <v>2</v>
      </c>
      <c r="E454" s="7">
        <f t="shared" si="14"/>
        <v>6</v>
      </c>
      <c r="F454" s="7" t="str">
        <f t="shared" si="15"/>
        <v>無資料</v>
      </c>
      <c r="G454" s="7" t="e">
        <f>VLOOKUP(A454,Sheet5!$A$2:$D$415,4,FALSE)</f>
        <v>#N/A</v>
      </c>
      <c r="H454" s="7" t="e">
        <f>VLOOKUP(A454,Sheet5!$A$2:$D$415,3,FALSE)</f>
        <v>#N/A</v>
      </c>
      <c r="I454" s="7">
        <f>VLOOKUP(A454,'1201-29周均耗用'!$A$1:$C$602,3,FALSE)</f>
        <v>4</v>
      </c>
    </row>
    <row r="455" spans="1:9">
      <c r="A455" s="13" t="s">
        <v>915</v>
      </c>
      <c r="B455" s="14" t="s">
        <v>916</v>
      </c>
      <c r="C455" s="13">
        <v>0</v>
      </c>
      <c r="D455" s="7">
        <f>IFERROR(VLOOKUP(A455,'1227-29耗量'!$A$1:$C$602,3,FALSE),0)</f>
        <v>0</v>
      </c>
      <c r="E455" s="7">
        <f t="shared" si="14"/>
        <v>0</v>
      </c>
      <c r="F455" s="7" t="str">
        <f t="shared" si="15"/>
        <v>無資料</v>
      </c>
      <c r="G455" s="7" t="e">
        <f>VLOOKUP(A455,Sheet5!$A$2:$D$415,4,FALSE)</f>
        <v>#N/A</v>
      </c>
      <c r="H455" s="7" t="e">
        <f>VLOOKUP(A455,Sheet5!$A$2:$D$415,3,FALSE)</f>
        <v>#N/A</v>
      </c>
      <c r="I455" s="7" t="e">
        <f>VLOOKUP(A455,'1201-29周均耗用'!$A$1:$C$602,3,FALSE)</f>
        <v>#N/A</v>
      </c>
    </row>
    <row r="456" spans="1:9">
      <c r="A456" s="13" t="s">
        <v>917</v>
      </c>
      <c r="B456" s="14" t="s">
        <v>918</v>
      </c>
      <c r="C456" s="13">
        <v>29</v>
      </c>
      <c r="D456" s="7">
        <f>VLOOKUP(A456,'1227-29耗量'!$A$1:$C$602,3,FALSE)</f>
        <v>6</v>
      </c>
      <c r="E456" s="7">
        <f t="shared" si="14"/>
        <v>23</v>
      </c>
      <c r="F456" s="7" t="str">
        <f t="shared" si="15"/>
        <v>錯誤</v>
      </c>
      <c r="G456" s="7">
        <f>VLOOKUP(A456,Sheet5!$A$2:$D$415,4,FALSE)</f>
        <v>19</v>
      </c>
      <c r="H456" s="7">
        <f>VLOOKUP(A456,Sheet5!$A$2:$D$415,3,FALSE)</f>
        <v>20</v>
      </c>
      <c r="I456" s="7">
        <f>VLOOKUP(A456,'1201-29周均耗用'!$A$1:$C$602,3,FALSE)</f>
        <v>8.2</v>
      </c>
    </row>
    <row r="457" spans="1:9">
      <c r="A457" s="13" t="s">
        <v>919</v>
      </c>
      <c r="B457" s="14" t="s">
        <v>920</v>
      </c>
      <c r="C457" s="13">
        <v>0</v>
      </c>
      <c r="D457" s="7">
        <f>IFERROR(VLOOKUP(A457,'1227-29耗量'!$A$1:$C$602,3,FALSE),0)</f>
        <v>0</v>
      </c>
      <c r="E457" s="7">
        <f t="shared" si="14"/>
        <v>0</v>
      </c>
      <c r="F457" s="7" t="str">
        <f t="shared" si="15"/>
        <v>無資料</v>
      </c>
      <c r="G457" s="7" t="e">
        <f>VLOOKUP(A457,Sheet5!$A$2:$D$415,4,FALSE)</f>
        <v>#N/A</v>
      </c>
      <c r="H457" s="7" t="e">
        <f>VLOOKUP(A457,Sheet5!$A$2:$D$415,3,FALSE)</f>
        <v>#N/A</v>
      </c>
      <c r="I457" s="7">
        <f>VLOOKUP(A457,'1201-29周均耗用'!$A$1:$C$602,3,FALSE)</f>
        <v>0.5</v>
      </c>
    </row>
    <row r="458" spans="1:9">
      <c r="A458" s="13" t="s">
        <v>921</v>
      </c>
      <c r="B458" s="14" t="s">
        <v>922</v>
      </c>
      <c r="C458" s="13">
        <v>341</v>
      </c>
      <c r="D458" s="7">
        <f>VLOOKUP(A458,'1227-29耗量'!$A$1:$C$602,3,FALSE)</f>
        <v>87</v>
      </c>
      <c r="E458" s="7">
        <f t="shared" si="14"/>
        <v>254</v>
      </c>
      <c r="F458" s="7" t="str">
        <f t="shared" si="15"/>
        <v>錯誤</v>
      </c>
      <c r="G458" s="7">
        <f>VLOOKUP(A458,Sheet5!$A$2:$D$415,4,FALSE)</f>
        <v>48</v>
      </c>
      <c r="H458" s="7">
        <f>VLOOKUP(A458,Sheet5!$A$2:$D$415,3,FALSE)</f>
        <v>1920</v>
      </c>
      <c r="I458" s="7">
        <f>VLOOKUP(A458,'1201-29周均耗用'!$A$1:$C$602,3,FALSE)</f>
        <v>440.2</v>
      </c>
    </row>
    <row r="459" spans="1:9">
      <c r="A459" s="13" t="s">
        <v>923</v>
      </c>
      <c r="B459" s="14" t="s">
        <v>924</v>
      </c>
      <c r="C459" s="13">
        <v>1</v>
      </c>
      <c r="D459" s="7">
        <f>IFERROR(VLOOKUP(A459,'1227-29耗量'!$A$1:$C$602,3,FALSE),0)</f>
        <v>0</v>
      </c>
      <c r="E459" s="7">
        <f t="shared" si="14"/>
        <v>1</v>
      </c>
      <c r="F459" s="7" t="str">
        <f t="shared" si="15"/>
        <v>無資料</v>
      </c>
      <c r="G459" s="7" t="e">
        <f>VLOOKUP(A459,Sheet5!$A$2:$D$415,4,FALSE)</f>
        <v>#N/A</v>
      </c>
      <c r="H459" s="7" t="e">
        <f>VLOOKUP(A459,Sheet5!$A$2:$D$415,3,FALSE)</f>
        <v>#N/A</v>
      </c>
      <c r="I459" s="7" t="e">
        <f>VLOOKUP(A459,'1201-29周均耗用'!$A$1:$C$602,3,FALSE)</f>
        <v>#N/A</v>
      </c>
    </row>
    <row r="460" spans="1:9">
      <c r="A460" s="13" t="s">
        <v>925</v>
      </c>
      <c r="B460" s="14" t="s">
        <v>926</v>
      </c>
      <c r="C460" s="13">
        <v>8</v>
      </c>
      <c r="D460" s="7">
        <f>IFERROR(VLOOKUP(A460,'1227-29耗量'!$A$1:$C$602,3,FALSE),0)</f>
        <v>0</v>
      </c>
      <c r="E460" s="7">
        <f t="shared" si="14"/>
        <v>8</v>
      </c>
      <c r="F460" s="7" t="str">
        <f t="shared" si="15"/>
        <v>無資料</v>
      </c>
      <c r="G460" s="7" t="e">
        <f>VLOOKUP(A460,Sheet5!$A$2:$D$415,4,FALSE)</f>
        <v>#N/A</v>
      </c>
      <c r="H460" s="7" t="e">
        <f>VLOOKUP(A460,Sheet5!$A$2:$D$415,3,FALSE)</f>
        <v>#N/A</v>
      </c>
      <c r="I460" s="7">
        <f>VLOOKUP(A460,'1201-29周均耗用'!$A$1:$C$602,3,FALSE)</f>
        <v>4</v>
      </c>
    </row>
    <row r="461" spans="1:9">
      <c r="A461" s="13" t="s">
        <v>927</v>
      </c>
      <c r="B461" s="14" t="s">
        <v>928</v>
      </c>
      <c r="C461" s="13">
        <v>1251</v>
      </c>
      <c r="D461" s="7">
        <f>IFERROR(VLOOKUP(A461,'1227-29耗量'!$A$1:$C$602,3,FALSE),0)</f>
        <v>28</v>
      </c>
      <c r="E461" s="7">
        <f t="shared" si="14"/>
        <v>1223</v>
      </c>
      <c r="F461" s="7" t="str">
        <f t="shared" si="15"/>
        <v>無資料</v>
      </c>
      <c r="G461" s="7" t="e">
        <f>VLOOKUP(A461,Sheet5!$A$2:$D$415,4,FALSE)</f>
        <v>#N/A</v>
      </c>
      <c r="H461" s="7" t="e">
        <f>VLOOKUP(A461,Sheet5!$A$2:$D$415,3,FALSE)</f>
        <v>#N/A</v>
      </c>
      <c r="I461" s="7">
        <f>VLOOKUP(A461,'1201-29周均耗用'!$A$1:$C$602,3,FALSE)</f>
        <v>115.5</v>
      </c>
    </row>
    <row r="462" spans="1:9">
      <c r="A462" s="13" t="s">
        <v>929</v>
      </c>
      <c r="B462" s="14" t="s">
        <v>930</v>
      </c>
      <c r="C462" s="13">
        <v>7</v>
      </c>
      <c r="D462" s="7">
        <f>IFERROR(VLOOKUP(A462,'1227-29耗量'!$A$1:$C$602,3,FALSE),0)</f>
        <v>0</v>
      </c>
      <c r="E462" s="7">
        <f t="shared" si="14"/>
        <v>7</v>
      </c>
      <c r="F462" s="7" t="str">
        <f t="shared" si="15"/>
        <v>錯誤</v>
      </c>
      <c r="G462" s="7">
        <f>VLOOKUP(A462,Sheet5!$A$2:$D$415,4,FALSE)</f>
        <v>1</v>
      </c>
      <c r="H462" s="7">
        <f>VLOOKUP(A462,Sheet5!$A$2:$D$415,3,FALSE)</f>
        <v>8</v>
      </c>
      <c r="I462" s="7" t="e">
        <f>VLOOKUP(A462,'1201-29周均耗用'!$A$1:$C$602,3,FALSE)</f>
        <v>#N/A</v>
      </c>
    </row>
    <row r="463" spans="1:9">
      <c r="A463" s="13" t="s">
        <v>931</v>
      </c>
      <c r="B463" s="14" t="s">
        <v>932</v>
      </c>
      <c r="C463" s="13">
        <v>3</v>
      </c>
      <c r="D463" s="7">
        <f>IFERROR(VLOOKUP(A463,'1227-29耗量'!$A$1:$C$602,3,FALSE),0)</f>
        <v>0</v>
      </c>
      <c r="E463" s="7">
        <f t="shared" si="14"/>
        <v>3</v>
      </c>
      <c r="F463" s="7" t="str">
        <f t="shared" si="15"/>
        <v>無資料</v>
      </c>
      <c r="G463" s="7" t="e">
        <f>VLOOKUP(A463,Sheet5!$A$2:$D$415,4,FALSE)</f>
        <v>#N/A</v>
      </c>
      <c r="H463" s="7" t="e">
        <f>VLOOKUP(A463,Sheet5!$A$2:$D$415,3,FALSE)</f>
        <v>#N/A</v>
      </c>
      <c r="I463" s="7" t="e">
        <f>VLOOKUP(A463,'1201-29周均耗用'!$A$1:$C$602,3,FALSE)</f>
        <v>#N/A</v>
      </c>
    </row>
    <row r="464" spans="1:9">
      <c r="A464" s="13" t="s">
        <v>933</v>
      </c>
      <c r="B464" s="14" t="s">
        <v>934</v>
      </c>
      <c r="C464" s="13">
        <v>242</v>
      </c>
      <c r="D464" s="7">
        <f>IFERROR(VLOOKUP(A464,'1227-29耗量'!$A$1:$C$602,3,FALSE),0)</f>
        <v>0</v>
      </c>
      <c r="E464" s="7">
        <f t="shared" si="14"/>
        <v>242</v>
      </c>
      <c r="F464" s="7" t="str">
        <f t="shared" si="15"/>
        <v>無資料</v>
      </c>
      <c r="G464" s="7" t="e">
        <f>VLOOKUP(A464,Sheet5!$A$2:$D$415,4,FALSE)</f>
        <v>#N/A</v>
      </c>
      <c r="H464" s="7" t="e">
        <f>VLOOKUP(A464,Sheet5!$A$2:$D$415,3,FALSE)</f>
        <v>#N/A</v>
      </c>
      <c r="I464" s="7">
        <f>VLOOKUP(A464,'1201-29周均耗用'!$A$1:$C$602,3,FALSE)</f>
        <v>6.8</v>
      </c>
    </row>
    <row r="465" spans="1:9">
      <c r="A465" s="13" t="s">
        <v>935</v>
      </c>
      <c r="B465" s="14" t="s">
        <v>936</v>
      </c>
      <c r="C465" s="13">
        <v>2083</v>
      </c>
      <c r="D465" s="7">
        <f>VLOOKUP(A465,'1227-29耗量'!$A$1:$C$602,3,FALSE)</f>
        <v>21</v>
      </c>
      <c r="E465" s="7">
        <f t="shared" si="14"/>
        <v>2062</v>
      </c>
      <c r="F465" s="7" t="str">
        <f t="shared" si="15"/>
        <v>錯誤</v>
      </c>
      <c r="G465" s="7">
        <f>VLOOKUP(A465,Sheet5!$A$2:$D$415,4,FALSE)</f>
        <v>152</v>
      </c>
      <c r="H465" s="7">
        <f>VLOOKUP(A465,Sheet5!$A$2:$D$415,3,FALSE)</f>
        <v>1000</v>
      </c>
      <c r="I465" s="7">
        <f>VLOOKUP(A465,'1201-29周均耗用'!$A$1:$C$602,3,FALSE)</f>
        <v>118.8</v>
      </c>
    </row>
    <row r="466" spans="1:9">
      <c r="A466" s="13" t="s">
        <v>937</v>
      </c>
      <c r="B466" s="14" t="s">
        <v>938</v>
      </c>
      <c r="C466" s="13">
        <v>235</v>
      </c>
      <c r="D466" s="7">
        <f>VLOOKUP(A466,'1227-29耗量'!$A$1:$C$602,3,FALSE)</f>
        <v>65</v>
      </c>
      <c r="E466" s="7">
        <f t="shared" si="14"/>
        <v>170</v>
      </c>
      <c r="F466" s="7" t="str">
        <f t="shared" si="15"/>
        <v>錯誤</v>
      </c>
      <c r="G466" s="7">
        <f>VLOOKUP(A466,Sheet5!$A$2:$D$415,4,FALSE)</f>
        <v>165</v>
      </c>
      <c r="H466" s="7">
        <f>VLOOKUP(A466,Sheet5!$A$2:$D$415,3,FALSE)</f>
        <v>1000</v>
      </c>
      <c r="I466" s="7">
        <f>VLOOKUP(A466,'1201-29周均耗用'!$A$1:$C$602,3,FALSE)</f>
        <v>128.2</v>
      </c>
    </row>
    <row r="467" spans="1:9">
      <c r="A467" s="13" t="s">
        <v>939</v>
      </c>
      <c r="B467" s="14" t="s">
        <v>940</v>
      </c>
      <c r="C467" s="13">
        <v>5</v>
      </c>
      <c r="D467" s="7">
        <f>IFERROR(VLOOKUP(A467,'1227-29耗量'!$A$1:$C$602,3,FALSE),0)</f>
        <v>0</v>
      </c>
      <c r="E467" s="7">
        <f t="shared" si="14"/>
        <v>5</v>
      </c>
      <c r="F467" s="7" t="str">
        <f t="shared" si="15"/>
        <v>無資料</v>
      </c>
      <c r="G467" s="7" t="e">
        <f>VLOOKUP(A467,Sheet5!$A$2:$D$415,4,FALSE)</f>
        <v>#N/A</v>
      </c>
      <c r="H467" s="7" t="e">
        <f>VLOOKUP(A467,Sheet5!$A$2:$D$415,3,FALSE)</f>
        <v>#N/A</v>
      </c>
      <c r="I467" s="7" t="e">
        <f>VLOOKUP(A467,'1201-29周均耗用'!$A$1:$C$602,3,FALSE)</f>
        <v>#N/A</v>
      </c>
    </row>
    <row r="468" spans="1:9">
      <c r="A468" s="13" t="s">
        <v>941</v>
      </c>
      <c r="B468" s="14" t="s">
        <v>942</v>
      </c>
      <c r="C468" s="13">
        <v>235</v>
      </c>
      <c r="D468" s="7">
        <f>IFERROR(VLOOKUP(A468,'1227-29耗量'!$A$1:$C$602,3,FALSE),0)</f>
        <v>62</v>
      </c>
      <c r="E468" s="7">
        <f t="shared" si="14"/>
        <v>173</v>
      </c>
      <c r="F468" s="7" t="str">
        <f t="shared" si="15"/>
        <v>無資料</v>
      </c>
      <c r="G468" s="7" t="e">
        <f>VLOOKUP(A468,Sheet5!$A$2:$D$415,4,FALSE)</f>
        <v>#N/A</v>
      </c>
      <c r="H468" s="7" t="e">
        <f>VLOOKUP(A468,Sheet5!$A$2:$D$415,3,FALSE)</f>
        <v>#N/A</v>
      </c>
      <c r="I468" s="7">
        <f>VLOOKUP(A468,'1201-29周均耗用'!$A$1:$C$602,3,FALSE)</f>
        <v>86.5</v>
      </c>
    </row>
    <row r="469" spans="1:9">
      <c r="A469" s="13" t="s">
        <v>943</v>
      </c>
      <c r="B469" s="14" t="s">
        <v>944</v>
      </c>
      <c r="C469" s="13">
        <v>0</v>
      </c>
      <c r="D469" s="7">
        <f>IFERROR(VLOOKUP(A469,'1227-29耗量'!$A$1:$C$602,3,FALSE),0)</f>
        <v>0</v>
      </c>
      <c r="E469" s="7">
        <f t="shared" si="14"/>
        <v>0</v>
      </c>
      <c r="F469" s="7" t="str">
        <f t="shared" si="15"/>
        <v>無資料</v>
      </c>
      <c r="G469" s="7" t="e">
        <f>VLOOKUP(A469,Sheet5!$A$2:$D$415,4,FALSE)</f>
        <v>#N/A</v>
      </c>
      <c r="H469" s="7" t="e">
        <f>VLOOKUP(A469,Sheet5!$A$2:$D$415,3,FALSE)</f>
        <v>#N/A</v>
      </c>
      <c r="I469" s="7">
        <f>VLOOKUP(A469,'1201-29周均耗用'!$A$1:$C$602,3,FALSE)</f>
        <v>-0.2</v>
      </c>
    </row>
    <row r="470" spans="1:9">
      <c r="A470" s="13" t="s">
        <v>945</v>
      </c>
      <c r="B470" s="14" t="s">
        <v>946</v>
      </c>
      <c r="C470" s="13">
        <v>0</v>
      </c>
      <c r="D470" s="7">
        <f>IFERROR(VLOOKUP(A470,'1227-29耗量'!$A$1:$C$602,3,FALSE),0)</f>
        <v>0</v>
      </c>
      <c r="E470" s="7">
        <f t="shared" si="14"/>
        <v>0</v>
      </c>
      <c r="F470" s="7" t="str">
        <f t="shared" si="15"/>
        <v>無資料</v>
      </c>
      <c r="G470" s="7" t="e">
        <f>VLOOKUP(A470,Sheet5!$A$2:$D$415,4,FALSE)</f>
        <v>#N/A</v>
      </c>
      <c r="H470" s="7" t="e">
        <f>VLOOKUP(A470,Sheet5!$A$2:$D$415,3,FALSE)</f>
        <v>#N/A</v>
      </c>
      <c r="I470" s="7" t="e">
        <f>VLOOKUP(A470,'1201-29周均耗用'!$A$1:$C$602,3,FALSE)</f>
        <v>#N/A</v>
      </c>
    </row>
    <row r="471" spans="1:9">
      <c r="A471" s="13" t="s">
        <v>947</v>
      </c>
      <c r="B471" s="14" t="s">
        <v>948</v>
      </c>
      <c r="C471" s="13">
        <v>432</v>
      </c>
      <c r="D471" s="7">
        <f>IFERROR(VLOOKUP(A471,'1227-29耗量'!$A$1:$C$602,3,FALSE),0)</f>
        <v>0</v>
      </c>
      <c r="E471" s="7">
        <f t="shared" si="14"/>
        <v>432</v>
      </c>
      <c r="F471" s="7" t="str">
        <f t="shared" si="15"/>
        <v>無資料</v>
      </c>
      <c r="G471" s="7" t="e">
        <f>VLOOKUP(A471,Sheet5!$A$2:$D$415,4,FALSE)</f>
        <v>#N/A</v>
      </c>
      <c r="H471" s="7" t="e">
        <f>VLOOKUP(A471,Sheet5!$A$2:$D$415,3,FALSE)</f>
        <v>#N/A</v>
      </c>
      <c r="I471" s="7">
        <f>VLOOKUP(A471,'1201-29周均耗用'!$A$1:$C$602,3,FALSE)</f>
        <v>24.8</v>
      </c>
    </row>
    <row r="472" spans="1:9">
      <c r="A472" s="13" t="s">
        <v>949</v>
      </c>
      <c r="B472" s="14" t="s">
        <v>950</v>
      </c>
      <c r="C472" s="13">
        <v>0</v>
      </c>
      <c r="D472" s="7">
        <f>IFERROR(VLOOKUP(A472,'1227-29耗量'!$A$1:$C$602,3,FALSE),0)</f>
        <v>0</v>
      </c>
      <c r="E472" s="7">
        <f t="shared" si="14"/>
        <v>0</v>
      </c>
      <c r="F472" s="7" t="str">
        <f t="shared" si="15"/>
        <v>無資料</v>
      </c>
      <c r="G472" s="7" t="e">
        <f>VLOOKUP(A472,Sheet5!$A$2:$D$415,4,FALSE)</f>
        <v>#N/A</v>
      </c>
      <c r="H472" s="7" t="e">
        <f>VLOOKUP(A472,Sheet5!$A$2:$D$415,3,FALSE)</f>
        <v>#N/A</v>
      </c>
      <c r="I472" s="7" t="e">
        <f>VLOOKUP(A472,'1201-29周均耗用'!$A$1:$C$602,3,FALSE)</f>
        <v>#N/A</v>
      </c>
    </row>
    <row r="473" spans="1:9">
      <c r="A473" s="13" t="s">
        <v>951</v>
      </c>
      <c r="B473" s="14" t="s">
        <v>952</v>
      </c>
      <c r="C473" s="13">
        <v>3084</v>
      </c>
      <c r="D473" s="7">
        <f>VLOOKUP(A473,'1227-29耗量'!$A$1:$C$602,3,FALSE)</f>
        <v>67</v>
      </c>
      <c r="E473" s="7">
        <f t="shared" si="14"/>
        <v>3017</v>
      </c>
      <c r="F473" s="7" t="str">
        <f t="shared" si="15"/>
        <v>錯誤</v>
      </c>
      <c r="G473" s="7">
        <f>VLOOKUP(A473,Sheet5!$A$2:$D$415,4,FALSE)</f>
        <v>1515</v>
      </c>
      <c r="H473" s="7">
        <f>VLOOKUP(A473,Sheet5!$A$2:$D$415,3,FALSE)</f>
        <v>1600</v>
      </c>
      <c r="I473" s="7">
        <f>VLOOKUP(A473,'1201-29周均耗用'!$A$1:$C$602,3,FALSE)</f>
        <v>551.2</v>
      </c>
    </row>
    <row r="474" spans="1:9">
      <c r="A474" s="13" t="s">
        <v>953</v>
      </c>
      <c r="B474" s="14" t="s">
        <v>954</v>
      </c>
      <c r="C474" s="13">
        <v>0</v>
      </c>
      <c r="D474" s="7">
        <f>IFERROR(VLOOKUP(A474,'1227-29耗量'!$A$1:$C$602,3,FALSE),0)</f>
        <v>0</v>
      </c>
      <c r="E474" s="7">
        <f t="shared" si="14"/>
        <v>0</v>
      </c>
      <c r="F474" s="7" t="str">
        <f t="shared" si="15"/>
        <v>無資料</v>
      </c>
      <c r="G474" s="7" t="e">
        <f>VLOOKUP(A474,Sheet5!$A$2:$D$415,4,FALSE)</f>
        <v>#N/A</v>
      </c>
      <c r="H474" s="7" t="e">
        <f>VLOOKUP(A474,Sheet5!$A$2:$D$415,3,FALSE)</f>
        <v>#N/A</v>
      </c>
      <c r="I474" s="7">
        <f>VLOOKUP(A474,'1201-29周均耗用'!$A$1:$C$602,3,FALSE)</f>
        <v>0</v>
      </c>
    </row>
    <row r="475" spans="1:9">
      <c r="A475" s="13" t="s">
        <v>955</v>
      </c>
      <c r="B475" s="14" t="s">
        <v>956</v>
      </c>
      <c r="C475" s="13">
        <v>0</v>
      </c>
      <c r="D475" s="7">
        <f>IFERROR(VLOOKUP(A475,'1227-29耗量'!$A$1:$C$602,3,FALSE),0)</f>
        <v>0</v>
      </c>
      <c r="E475" s="7">
        <f t="shared" si="14"/>
        <v>0</v>
      </c>
      <c r="F475" s="7" t="str">
        <f t="shared" si="15"/>
        <v>無資料</v>
      </c>
      <c r="G475" s="7" t="e">
        <f>VLOOKUP(A475,Sheet5!$A$2:$D$415,4,FALSE)</f>
        <v>#N/A</v>
      </c>
      <c r="H475" s="7" t="e">
        <f>VLOOKUP(A475,Sheet5!$A$2:$D$415,3,FALSE)</f>
        <v>#N/A</v>
      </c>
      <c r="I475" s="7" t="e">
        <f>VLOOKUP(A475,'1201-29周均耗用'!$A$1:$C$602,3,FALSE)</f>
        <v>#N/A</v>
      </c>
    </row>
    <row r="476" spans="1:9">
      <c r="A476" s="13" t="s">
        <v>957</v>
      </c>
      <c r="B476" s="14" t="s">
        <v>958</v>
      </c>
      <c r="C476" s="13">
        <v>0</v>
      </c>
      <c r="D476" s="7">
        <f>IFERROR(VLOOKUP(A476,'1227-29耗量'!$A$1:$C$602,3,FALSE),0)</f>
        <v>0</v>
      </c>
      <c r="E476" s="7">
        <f t="shared" si="14"/>
        <v>0</v>
      </c>
      <c r="F476" s="7" t="str">
        <f t="shared" si="15"/>
        <v>無資料</v>
      </c>
      <c r="G476" s="7" t="e">
        <f>VLOOKUP(A476,Sheet5!$A$2:$D$415,4,FALSE)</f>
        <v>#N/A</v>
      </c>
      <c r="H476" s="7" t="e">
        <f>VLOOKUP(A476,Sheet5!$A$2:$D$415,3,FALSE)</f>
        <v>#N/A</v>
      </c>
      <c r="I476" s="7" t="e">
        <f>VLOOKUP(A476,'1201-29周均耗用'!$A$1:$C$602,3,FALSE)</f>
        <v>#N/A</v>
      </c>
    </row>
    <row r="477" spans="1:9">
      <c r="A477" s="13" t="s">
        <v>959</v>
      </c>
      <c r="B477" s="14" t="s">
        <v>960</v>
      </c>
      <c r="C477" s="13">
        <v>573</v>
      </c>
      <c r="D477" s="7">
        <f>IFERROR(VLOOKUP(A477,'1227-29耗量'!$A$1:$C$602,3,FALSE),0)</f>
        <v>17</v>
      </c>
      <c r="E477" s="7">
        <f t="shared" si="14"/>
        <v>556</v>
      </c>
      <c r="F477" s="7" t="str">
        <f t="shared" si="15"/>
        <v>無資料</v>
      </c>
      <c r="G477" s="7" t="e">
        <f>VLOOKUP(A477,Sheet5!$A$2:$D$415,4,FALSE)</f>
        <v>#N/A</v>
      </c>
      <c r="H477" s="7" t="e">
        <f>VLOOKUP(A477,Sheet5!$A$2:$D$415,3,FALSE)</f>
        <v>#N/A</v>
      </c>
      <c r="I477" s="7">
        <f>VLOOKUP(A477,'1201-29周均耗用'!$A$1:$C$602,3,FALSE)</f>
        <v>132</v>
      </c>
    </row>
    <row r="478" spans="1:9">
      <c r="A478" s="13" t="s">
        <v>961</v>
      </c>
      <c r="B478" s="14" t="s">
        <v>962</v>
      </c>
      <c r="C478" s="13">
        <v>127</v>
      </c>
      <c r="D478" s="7">
        <f>IFERROR(VLOOKUP(A478,'1227-29耗量'!$A$1:$C$602,3,FALSE),0)</f>
        <v>0</v>
      </c>
      <c r="E478" s="7">
        <f t="shared" si="14"/>
        <v>127</v>
      </c>
      <c r="F478" s="7" t="str">
        <f t="shared" si="15"/>
        <v>錯誤</v>
      </c>
      <c r="G478" s="7">
        <f>VLOOKUP(A478,Sheet5!$A$2:$D$415,4,FALSE)</f>
        <v>12</v>
      </c>
      <c r="H478" s="7">
        <f>VLOOKUP(A478,Sheet5!$A$2:$D$415,3,FALSE)</f>
        <v>100</v>
      </c>
      <c r="I478" s="7">
        <f>VLOOKUP(A478,'1201-29周均耗用'!$A$1:$C$602,3,FALSE)</f>
        <v>27</v>
      </c>
    </row>
    <row r="479" spans="1:9">
      <c r="A479" s="13" t="s">
        <v>963</v>
      </c>
      <c r="B479" s="14" t="s">
        <v>964</v>
      </c>
      <c r="C479" s="13">
        <v>13</v>
      </c>
      <c r="D479" s="7">
        <f>IFERROR(VLOOKUP(A479,'1227-29耗量'!$A$1:$C$602,3,FALSE),0)</f>
        <v>0</v>
      </c>
      <c r="E479" s="7">
        <f t="shared" si="14"/>
        <v>13</v>
      </c>
      <c r="F479" s="7" t="str">
        <f t="shared" si="15"/>
        <v>無資料</v>
      </c>
      <c r="G479" s="7" t="e">
        <f>VLOOKUP(A479,Sheet5!$A$2:$D$415,4,FALSE)</f>
        <v>#N/A</v>
      </c>
      <c r="H479" s="7" t="e">
        <f>VLOOKUP(A479,Sheet5!$A$2:$D$415,3,FALSE)</f>
        <v>#N/A</v>
      </c>
      <c r="I479" s="7">
        <f>VLOOKUP(A479,'1201-29周均耗用'!$A$1:$C$602,3,FALSE)</f>
        <v>3.5</v>
      </c>
    </row>
    <row r="480" spans="1:9">
      <c r="A480" s="13" t="s">
        <v>965</v>
      </c>
      <c r="B480" s="14" t="s">
        <v>966</v>
      </c>
      <c r="C480" s="13">
        <v>0</v>
      </c>
      <c r="D480" s="7">
        <f>IFERROR(VLOOKUP(A480,'1227-29耗量'!$A$1:$C$602,3,FALSE),0)</f>
        <v>1</v>
      </c>
      <c r="E480" s="7">
        <f t="shared" si="14"/>
        <v>-1</v>
      </c>
      <c r="F480" s="7" t="str">
        <f t="shared" si="15"/>
        <v>無資料</v>
      </c>
      <c r="G480" s="7" t="e">
        <f>VLOOKUP(A480,Sheet5!$A$2:$D$415,4,FALSE)</f>
        <v>#N/A</v>
      </c>
      <c r="H480" s="7" t="e">
        <f>VLOOKUP(A480,Sheet5!$A$2:$D$415,3,FALSE)</f>
        <v>#N/A</v>
      </c>
      <c r="I480" s="7">
        <f>VLOOKUP(A480,'1201-29周均耗用'!$A$1:$C$602,3,FALSE)</f>
        <v>0.8</v>
      </c>
    </row>
    <row r="481" spans="1:9">
      <c r="A481" s="13" t="s">
        <v>967</v>
      </c>
      <c r="B481" s="14" t="s">
        <v>968</v>
      </c>
      <c r="C481" s="13">
        <v>617</v>
      </c>
      <c r="D481" s="7">
        <f>VLOOKUP(A481,'1227-29耗量'!$A$1:$C$602,3,FALSE)</f>
        <v>20</v>
      </c>
      <c r="E481" s="7">
        <f t="shared" si="14"/>
        <v>597</v>
      </c>
      <c r="F481" s="7" t="str">
        <f t="shared" si="15"/>
        <v>錯誤</v>
      </c>
      <c r="G481" s="7">
        <f>VLOOKUP(A481,Sheet5!$A$2:$D$415,4,FALSE)</f>
        <v>149</v>
      </c>
      <c r="H481" s="7">
        <f>VLOOKUP(A481,Sheet5!$A$2:$D$415,3,FALSE)</f>
        <v>700</v>
      </c>
      <c r="I481" s="7">
        <f>VLOOKUP(A481,'1201-29周均耗用'!$A$1:$C$602,3,FALSE)</f>
        <v>189.2</v>
      </c>
    </row>
    <row r="482" spans="1:9">
      <c r="A482" s="13" t="s">
        <v>969</v>
      </c>
      <c r="B482" s="14" t="s">
        <v>970</v>
      </c>
      <c r="C482" s="13">
        <v>48</v>
      </c>
      <c r="D482" s="7">
        <f>VLOOKUP(A482,'1227-29耗量'!$A$1:$C$602,3,FALSE)</f>
        <v>5</v>
      </c>
      <c r="E482" s="7">
        <f t="shared" si="14"/>
        <v>43</v>
      </c>
      <c r="F482" s="7" t="str">
        <f t="shared" si="15"/>
        <v>錯誤</v>
      </c>
      <c r="G482" s="7">
        <f>VLOOKUP(A482,Sheet5!$A$2:$D$415,4,FALSE)</f>
        <v>8</v>
      </c>
      <c r="H482" s="7">
        <f>VLOOKUP(A482,Sheet5!$A$2:$D$415,3,FALSE)</f>
        <v>40</v>
      </c>
      <c r="I482" s="7">
        <f>VLOOKUP(A482,'1201-29周均耗用'!$A$1:$C$602,3,FALSE)</f>
        <v>13.8</v>
      </c>
    </row>
    <row r="483" spans="1:9">
      <c r="A483" s="13" t="s">
        <v>971</v>
      </c>
      <c r="B483" s="14" t="s">
        <v>972</v>
      </c>
      <c r="C483" s="13">
        <v>3</v>
      </c>
      <c r="D483" s="7">
        <f>IFERROR(VLOOKUP(A483,'1227-29耗量'!$A$1:$C$602,3,FALSE),0)</f>
        <v>0</v>
      </c>
      <c r="E483" s="7">
        <f t="shared" si="14"/>
        <v>3</v>
      </c>
      <c r="F483" s="7" t="str">
        <f t="shared" si="15"/>
        <v>無資料</v>
      </c>
      <c r="G483" s="7" t="e">
        <f>VLOOKUP(A483,Sheet5!$A$2:$D$415,4,FALSE)</f>
        <v>#N/A</v>
      </c>
      <c r="H483" s="7" t="e">
        <f>VLOOKUP(A483,Sheet5!$A$2:$D$415,3,FALSE)</f>
        <v>#N/A</v>
      </c>
      <c r="I483" s="7" t="e">
        <f>VLOOKUP(A483,'1201-29周均耗用'!$A$1:$C$602,3,FALSE)</f>
        <v>#N/A</v>
      </c>
    </row>
    <row r="484" spans="1:9">
      <c r="A484" s="13" t="s">
        <v>973</v>
      </c>
      <c r="B484" s="14" t="s">
        <v>974</v>
      </c>
      <c r="C484" s="13">
        <v>0</v>
      </c>
      <c r="D484" s="7">
        <f>IFERROR(VLOOKUP(A484,'1227-29耗量'!$A$1:$C$602,3,FALSE),0)</f>
        <v>0</v>
      </c>
      <c r="E484" s="7">
        <f t="shared" si="14"/>
        <v>0</v>
      </c>
      <c r="F484" s="7" t="str">
        <f t="shared" si="15"/>
        <v>無資料</v>
      </c>
      <c r="G484" s="7" t="e">
        <f>VLOOKUP(A484,Sheet5!$A$2:$D$415,4,FALSE)</f>
        <v>#N/A</v>
      </c>
      <c r="H484" s="7" t="e">
        <f>VLOOKUP(A484,Sheet5!$A$2:$D$415,3,FALSE)</f>
        <v>#N/A</v>
      </c>
      <c r="I484" s="7" t="e">
        <f>VLOOKUP(A484,'1201-29周均耗用'!$A$1:$C$602,3,FALSE)</f>
        <v>#N/A</v>
      </c>
    </row>
    <row r="485" spans="1:9">
      <c r="A485" s="13" t="s">
        <v>975</v>
      </c>
      <c r="B485" s="14" t="s">
        <v>976</v>
      </c>
      <c r="C485" s="13">
        <v>0</v>
      </c>
      <c r="D485" s="7">
        <f>IFERROR(VLOOKUP(A485,'1227-29耗量'!$A$1:$C$602,3,FALSE),0)</f>
        <v>0</v>
      </c>
      <c r="E485" s="7">
        <f t="shared" si="14"/>
        <v>0</v>
      </c>
      <c r="F485" s="7" t="str">
        <f t="shared" si="15"/>
        <v>無資料</v>
      </c>
      <c r="G485" s="7" t="e">
        <f>VLOOKUP(A485,Sheet5!$A$2:$D$415,4,FALSE)</f>
        <v>#N/A</v>
      </c>
      <c r="H485" s="7" t="e">
        <f>VLOOKUP(A485,Sheet5!$A$2:$D$415,3,FALSE)</f>
        <v>#N/A</v>
      </c>
      <c r="I485" s="7">
        <f>VLOOKUP(A485,'1201-29周均耗用'!$A$1:$C$602,3,FALSE)</f>
        <v>5</v>
      </c>
    </row>
    <row r="486" spans="1:9">
      <c r="A486" s="13" t="s">
        <v>977</v>
      </c>
      <c r="B486" s="14" t="s">
        <v>978</v>
      </c>
      <c r="C486" s="13">
        <v>0</v>
      </c>
      <c r="D486" s="7">
        <f>IFERROR(VLOOKUP(A486,'1227-29耗量'!$A$1:$C$602,3,FALSE),0)</f>
        <v>0</v>
      </c>
      <c r="E486" s="7">
        <f t="shared" si="14"/>
        <v>0</v>
      </c>
      <c r="F486" s="7" t="str">
        <f t="shared" si="15"/>
        <v>無資料</v>
      </c>
      <c r="G486" s="7" t="e">
        <f>VLOOKUP(A486,Sheet5!$A$2:$D$415,4,FALSE)</f>
        <v>#N/A</v>
      </c>
      <c r="H486" s="7" t="e">
        <f>VLOOKUP(A486,Sheet5!$A$2:$D$415,3,FALSE)</f>
        <v>#N/A</v>
      </c>
      <c r="I486" s="7">
        <f>VLOOKUP(A486,'1201-29周均耗用'!$A$1:$C$602,3,FALSE)</f>
        <v>0.8</v>
      </c>
    </row>
    <row r="487" spans="1:9">
      <c r="A487" s="13" t="s">
        <v>979</v>
      </c>
      <c r="B487" s="14" t="s">
        <v>980</v>
      </c>
      <c r="C487" s="13">
        <v>175</v>
      </c>
      <c r="D487" s="7">
        <f>VLOOKUP(A487,'1227-29耗量'!$A$1:$C$602,3,FALSE)</f>
        <v>5</v>
      </c>
      <c r="E487" s="7">
        <f t="shared" si="14"/>
        <v>170</v>
      </c>
      <c r="F487" s="7" t="str">
        <f t="shared" si="15"/>
        <v>錯誤</v>
      </c>
      <c r="G487" s="7">
        <f>VLOOKUP(A487,Sheet5!$A$2:$D$415,4,FALSE)</f>
        <v>114</v>
      </c>
      <c r="H487" s="7">
        <f>VLOOKUP(A487,Sheet5!$A$2:$D$415,3,FALSE)</f>
        <v>150</v>
      </c>
      <c r="I487" s="7">
        <f>VLOOKUP(A487,'1201-29周均耗用'!$A$1:$C$602,3,FALSE)</f>
        <v>36.8</v>
      </c>
    </row>
    <row r="488" spans="1:9">
      <c r="A488" s="13" t="s">
        <v>981</v>
      </c>
      <c r="B488" s="14" t="s">
        <v>982</v>
      </c>
      <c r="C488" s="13">
        <v>373</v>
      </c>
      <c r="D488" s="7">
        <f>VLOOKUP(A488,'1227-29耗量'!$A$1:$C$602,3,FALSE)</f>
        <v>24</v>
      </c>
      <c r="E488" s="7">
        <f t="shared" si="14"/>
        <v>349</v>
      </c>
      <c r="F488" s="7" t="str">
        <f t="shared" si="15"/>
        <v>錯誤</v>
      </c>
      <c r="G488" s="7">
        <f>VLOOKUP(A488,Sheet5!$A$2:$D$415,4,FALSE)</f>
        <v>201</v>
      </c>
      <c r="H488" s="7">
        <f>VLOOKUP(A488,Sheet5!$A$2:$D$415,3,FALSE)</f>
        <v>480</v>
      </c>
      <c r="I488" s="7">
        <f>VLOOKUP(A488,'1201-29周均耗用'!$A$1:$C$602,3,FALSE)</f>
        <v>-1046.2</v>
      </c>
    </row>
    <row r="489" spans="1:9">
      <c r="A489" s="13" t="s">
        <v>983</v>
      </c>
      <c r="B489" s="14" t="s">
        <v>984</v>
      </c>
      <c r="C489" s="13">
        <v>11</v>
      </c>
      <c r="D489" s="7">
        <f>IFERROR(VLOOKUP(A489,'1227-29耗量'!$A$1:$C$602,3,FALSE),0)</f>
        <v>0</v>
      </c>
      <c r="E489" s="7">
        <f t="shared" si="14"/>
        <v>11</v>
      </c>
      <c r="F489" s="7" t="str">
        <f t="shared" si="15"/>
        <v>無資料</v>
      </c>
      <c r="G489" s="7" t="e">
        <f>VLOOKUP(A489,Sheet5!$A$2:$D$415,4,FALSE)</f>
        <v>#N/A</v>
      </c>
      <c r="H489" s="7" t="e">
        <f>VLOOKUP(A489,Sheet5!$A$2:$D$415,3,FALSE)</f>
        <v>#N/A</v>
      </c>
      <c r="I489" s="7" t="e">
        <f>VLOOKUP(A489,'1201-29周均耗用'!$A$1:$C$602,3,FALSE)</f>
        <v>#N/A</v>
      </c>
    </row>
    <row r="490" spans="1:9">
      <c r="A490" s="13" t="s">
        <v>985</v>
      </c>
      <c r="B490" s="14" t="s">
        <v>986</v>
      </c>
      <c r="C490" s="13">
        <v>105</v>
      </c>
      <c r="D490" s="7">
        <f>IFERROR(VLOOKUP(A490,'1227-29耗量'!$A$1:$C$602,3,FALSE),0)</f>
        <v>12</v>
      </c>
      <c r="E490" s="7">
        <f t="shared" si="14"/>
        <v>93</v>
      </c>
      <c r="F490" s="7" t="str">
        <f t="shared" si="15"/>
        <v>無資料</v>
      </c>
      <c r="G490" s="7" t="e">
        <f>VLOOKUP(A490,Sheet5!$A$2:$D$415,4,FALSE)</f>
        <v>#N/A</v>
      </c>
      <c r="H490" s="7" t="e">
        <f>VLOOKUP(A490,Sheet5!$A$2:$D$415,3,FALSE)</f>
        <v>#N/A</v>
      </c>
      <c r="I490" s="7">
        <f>VLOOKUP(A490,'1201-29周均耗用'!$A$1:$C$602,3,FALSE)</f>
        <v>27</v>
      </c>
    </row>
    <row r="491" spans="1:9">
      <c r="A491" s="13" t="s">
        <v>987</v>
      </c>
      <c r="B491" s="14" t="s">
        <v>988</v>
      </c>
      <c r="C491" s="13">
        <v>246</v>
      </c>
      <c r="D491" s="7">
        <f>IFERROR(VLOOKUP(A491,'1227-29耗量'!$A$1:$C$602,3,FALSE),0)</f>
        <v>1</v>
      </c>
      <c r="E491" s="7">
        <f t="shared" si="14"/>
        <v>245</v>
      </c>
      <c r="F491" s="7" t="str">
        <f t="shared" si="15"/>
        <v>無資料</v>
      </c>
      <c r="G491" s="7" t="e">
        <f>VLOOKUP(A491,Sheet5!$A$2:$D$415,4,FALSE)</f>
        <v>#N/A</v>
      </c>
      <c r="H491" s="7" t="e">
        <f>VLOOKUP(A491,Sheet5!$A$2:$D$415,3,FALSE)</f>
        <v>#N/A</v>
      </c>
      <c r="I491" s="7">
        <f>VLOOKUP(A491,'1201-29周均耗用'!$A$1:$C$602,3,FALSE)</f>
        <v>28</v>
      </c>
    </row>
    <row r="492" spans="1:9">
      <c r="A492" s="13" t="s">
        <v>989</v>
      </c>
      <c r="B492" s="14" t="s">
        <v>990</v>
      </c>
      <c r="C492" s="13">
        <v>0</v>
      </c>
      <c r="D492" s="7">
        <f>IFERROR(VLOOKUP(A492,'1227-29耗量'!$A$1:$C$602,3,FALSE),0)</f>
        <v>0</v>
      </c>
      <c r="E492" s="7">
        <f t="shared" si="14"/>
        <v>0</v>
      </c>
      <c r="F492" s="7" t="str">
        <f t="shared" si="15"/>
        <v>無資料</v>
      </c>
      <c r="G492" s="7" t="e">
        <f>VLOOKUP(A492,Sheet5!$A$2:$D$415,4,FALSE)</f>
        <v>#N/A</v>
      </c>
      <c r="H492" s="7" t="e">
        <f>VLOOKUP(A492,Sheet5!$A$2:$D$415,3,FALSE)</f>
        <v>#N/A</v>
      </c>
      <c r="I492" s="7">
        <f>VLOOKUP(A492,'1201-29周均耗用'!$A$1:$C$602,3,FALSE)</f>
        <v>31.5</v>
      </c>
    </row>
    <row r="493" spans="1:9">
      <c r="A493" s="13" t="s">
        <v>991</v>
      </c>
      <c r="B493" s="14" t="s">
        <v>992</v>
      </c>
      <c r="C493" s="13">
        <v>87</v>
      </c>
      <c r="D493" s="7">
        <f>IFERROR(VLOOKUP(A493,'1227-29耗量'!$A$1:$C$602,3,FALSE),0)</f>
        <v>0</v>
      </c>
      <c r="E493" s="7">
        <f t="shared" si="14"/>
        <v>87</v>
      </c>
      <c r="F493" s="7" t="str">
        <f t="shared" si="15"/>
        <v>無資料</v>
      </c>
      <c r="G493" s="7" t="e">
        <f>VLOOKUP(A493,Sheet5!$A$2:$D$415,4,FALSE)</f>
        <v>#N/A</v>
      </c>
      <c r="H493" s="7" t="e">
        <f>VLOOKUP(A493,Sheet5!$A$2:$D$415,3,FALSE)</f>
        <v>#N/A</v>
      </c>
      <c r="I493" s="7">
        <f>VLOOKUP(A493,'1201-29周均耗用'!$A$1:$C$602,3,FALSE)</f>
        <v>34.5</v>
      </c>
    </row>
    <row r="494" spans="1:9">
      <c r="A494" s="13" t="s">
        <v>993</v>
      </c>
      <c r="B494" s="14" t="s">
        <v>994</v>
      </c>
      <c r="C494" s="13">
        <v>38</v>
      </c>
      <c r="D494" s="7">
        <f>VLOOKUP(A494,'1227-29耗量'!$A$1:$C$602,3,FALSE)</f>
        <v>2</v>
      </c>
      <c r="E494" s="7">
        <f t="shared" si="14"/>
        <v>36</v>
      </c>
      <c r="F494" s="7" t="str">
        <f t="shared" si="15"/>
        <v>錯誤</v>
      </c>
      <c r="G494" s="7">
        <f>VLOOKUP(A494,Sheet5!$A$2:$D$415,4,FALSE)</f>
        <v>7</v>
      </c>
      <c r="H494" s="7">
        <f>VLOOKUP(A494,Sheet5!$A$2:$D$415,3,FALSE)</f>
        <v>30</v>
      </c>
      <c r="I494" s="7" t="e">
        <f>VLOOKUP(A494,'1201-29周均耗用'!$A$1:$C$602,3,FALSE)</f>
        <v>#N/A</v>
      </c>
    </row>
    <row r="495" spans="1:9">
      <c r="A495" s="13" t="s">
        <v>995</v>
      </c>
      <c r="B495" s="14" t="s">
        <v>996</v>
      </c>
      <c r="C495" s="13">
        <v>4</v>
      </c>
      <c r="D495" s="7">
        <f>VLOOKUP(A495,'1227-29耗量'!$A$1:$C$602,3,FALSE)</f>
        <v>2</v>
      </c>
      <c r="E495" s="7">
        <f t="shared" si="14"/>
        <v>2</v>
      </c>
      <c r="F495" s="7" t="str">
        <f t="shared" si="15"/>
        <v>錯誤</v>
      </c>
      <c r="G495" s="7">
        <f>VLOOKUP(A495,Sheet5!$A$2:$D$415,4,FALSE)</f>
        <v>3</v>
      </c>
      <c r="H495" s="7">
        <f>VLOOKUP(A495,Sheet5!$A$2:$D$415,3,FALSE)</f>
        <v>10</v>
      </c>
      <c r="I495" s="7">
        <f>VLOOKUP(A495,'1201-29周均耗用'!$A$1:$C$602,3,FALSE)</f>
        <v>3</v>
      </c>
    </row>
    <row r="496" spans="1:9">
      <c r="A496" s="13" t="s">
        <v>997</v>
      </c>
      <c r="B496" s="14" t="s">
        <v>998</v>
      </c>
      <c r="C496" s="13">
        <v>0</v>
      </c>
      <c r="D496" s="7">
        <f>IFERROR(VLOOKUP(A496,'1227-29耗量'!$A$1:$C$602,3,FALSE),0)</f>
        <v>0</v>
      </c>
      <c r="E496" s="7">
        <f t="shared" si="14"/>
        <v>0</v>
      </c>
      <c r="F496" s="7" t="str">
        <f t="shared" si="15"/>
        <v>無資料</v>
      </c>
      <c r="G496" s="7" t="e">
        <f>VLOOKUP(A496,Sheet5!$A$2:$D$415,4,FALSE)</f>
        <v>#N/A</v>
      </c>
      <c r="H496" s="7" t="e">
        <f>VLOOKUP(A496,Sheet5!$A$2:$D$415,3,FALSE)</f>
        <v>#N/A</v>
      </c>
      <c r="I496" s="7" t="e">
        <f>VLOOKUP(A496,'1201-29周均耗用'!$A$1:$C$602,3,FALSE)</f>
        <v>#N/A</v>
      </c>
    </row>
    <row r="497" spans="1:9">
      <c r="A497" s="13" t="s">
        <v>999</v>
      </c>
      <c r="B497" s="14" t="s">
        <v>1000</v>
      </c>
      <c r="C497" s="13">
        <v>0</v>
      </c>
      <c r="D497" s="7">
        <f>IFERROR(VLOOKUP(A497,'1227-29耗量'!$A$1:$C$602,3,FALSE),0)</f>
        <v>0</v>
      </c>
      <c r="E497" s="7">
        <f t="shared" si="14"/>
        <v>0</v>
      </c>
      <c r="F497" s="7" t="str">
        <f t="shared" si="15"/>
        <v>無資料</v>
      </c>
      <c r="G497" s="7" t="e">
        <f>VLOOKUP(A497,Sheet5!$A$2:$D$415,4,FALSE)</f>
        <v>#N/A</v>
      </c>
      <c r="H497" s="7" t="e">
        <f>VLOOKUP(A497,Sheet5!$A$2:$D$415,3,FALSE)</f>
        <v>#N/A</v>
      </c>
      <c r="I497" s="7" t="e">
        <f>VLOOKUP(A497,'1201-29周均耗用'!$A$1:$C$602,3,FALSE)</f>
        <v>#N/A</v>
      </c>
    </row>
    <row r="498" spans="1:9">
      <c r="A498" s="13" t="s">
        <v>1001</v>
      </c>
      <c r="B498" s="14" t="s">
        <v>1002</v>
      </c>
      <c r="C498" s="13">
        <v>2270</v>
      </c>
      <c r="D498" s="7">
        <f>VLOOKUP(A498,'1227-29耗量'!$A$1:$C$602,3,FALSE)</f>
        <v>45</v>
      </c>
      <c r="E498" s="7">
        <f t="shared" si="14"/>
        <v>2225</v>
      </c>
      <c r="F498" s="7" t="str">
        <f t="shared" si="15"/>
        <v>錯誤</v>
      </c>
      <c r="G498" s="7">
        <f>VLOOKUP(A498,Sheet5!$A$2:$D$415,4,FALSE)</f>
        <v>1792</v>
      </c>
      <c r="H498" s="7">
        <f>VLOOKUP(A498,Sheet5!$A$2:$D$415,3,FALSE)</f>
        <v>4600</v>
      </c>
      <c r="I498" s="7">
        <f>VLOOKUP(A498,'1201-29周均耗用'!$A$1:$C$602,3,FALSE)</f>
        <v>1087.5</v>
      </c>
    </row>
    <row r="499" spans="1:9">
      <c r="A499" s="13" t="s">
        <v>1003</v>
      </c>
      <c r="B499" s="14" t="s">
        <v>1004</v>
      </c>
      <c r="C499" s="13">
        <v>453</v>
      </c>
      <c r="D499" s="7">
        <f>IFERROR(VLOOKUP(A499,'1227-29耗量'!$A$1:$C$602,3,FALSE),0)</f>
        <v>0</v>
      </c>
      <c r="E499" s="7">
        <f t="shared" si="14"/>
        <v>453</v>
      </c>
      <c r="F499" s="7" t="str">
        <f t="shared" si="15"/>
        <v>無資料</v>
      </c>
      <c r="G499" s="7" t="e">
        <f>VLOOKUP(A499,Sheet5!$A$2:$D$415,4,FALSE)</f>
        <v>#N/A</v>
      </c>
      <c r="H499" s="7" t="e">
        <f>VLOOKUP(A499,Sheet5!$A$2:$D$415,3,FALSE)</f>
        <v>#N/A</v>
      </c>
      <c r="I499" s="7">
        <f>VLOOKUP(A499,'1201-29周均耗用'!$A$1:$C$602,3,FALSE)</f>
        <v>51.5</v>
      </c>
    </row>
    <row r="500" spans="1:9">
      <c r="A500" s="13" t="s">
        <v>1005</v>
      </c>
      <c r="B500" s="14" t="s">
        <v>1006</v>
      </c>
      <c r="C500" s="13">
        <v>90</v>
      </c>
      <c r="D500" s="7">
        <f>VLOOKUP(A500,'1227-29耗量'!$A$1:$C$602,3,FALSE)</f>
        <v>3</v>
      </c>
      <c r="E500" s="7">
        <f t="shared" si="14"/>
        <v>87</v>
      </c>
      <c r="F500" s="7" t="str">
        <f t="shared" si="15"/>
        <v>錯誤</v>
      </c>
      <c r="G500" s="7">
        <f>VLOOKUP(A500,Sheet5!$A$2:$D$415,4,FALSE)</f>
        <v>18</v>
      </c>
      <c r="H500" s="7">
        <f>VLOOKUP(A500,Sheet5!$A$2:$D$415,3,FALSE)</f>
        <v>72</v>
      </c>
      <c r="I500" s="7" t="e">
        <f>VLOOKUP(A500,'1201-29周均耗用'!$A$1:$C$602,3,FALSE)</f>
        <v>#N/A</v>
      </c>
    </row>
    <row r="501" spans="1:9">
      <c r="A501" s="13" t="s">
        <v>1007</v>
      </c>
      <c r="B501" s="14" t="s">
        <v>1008</v>
      </c>
      <c r="C501" s="13">
        <v>0</v>
      </c>
      <c r="D501" s="7">
        <f>IFERROR(VLOOKUP(A501,'1227-29耗量'!$A$1:$C$602,3,FALSE),0)</f>
        <v>0</v>
      </c>
      <c r="E501" s="7">
        <f t="shared" si="14"/>
        <v>0</v>
      </c>
      <c r="F501" s="7" t="str">
        <f t="shared" si="15"/>
        <v>無資料</v>
      </c>
      <c r="G501" s="7" t="e">
        <f>VLOOKUP(A501,Sheet5!$A$2:$D$415,4,FALSE)</f>
        <v>#N/A</v>
      </c>
      <c r="H501" s="7" t="e">
        <f>VLOOKUP(A501,Sheet5!$A$2:$D$415,3,FALSE)</f>
        <v>#N/A</v>
      </c>
      <c r="I501" s="7" t="e">
        <f>VLOOKUP(A501,'1201-29周均耗用'!$A$1:$C$602,3,FALSE)</f>
        <v>#N/A</v>
      </c>
    </row>
    <row r="502" spans="1:9">
      <c r="A502" s="13" t="s">
        <v>1009</v>
      </c>
      <c r="B502" s="14" t="s">
        <v>1010</v>
      </c>
      <c r="C502" s="13">
        <v>130</v>
      </c>
      <c r="D502" s="7">
        <f>IFERROR(VLOOKUP(A502,'1227-29耗量'!$A$1:$C$602,3,FALSE),0)</f>
        <v>0</v>
      </c>
      <c r="E502" s="7">
        <f t="shared" si="14"/>
        <v>130</v>
      </c>
      <c r="F502" s="7" t="str">
        <f t="shared" si="15"/>
        <v>錯誤</v>
      </c>
      <c r="G502" s="7">
        <f>VLOOKUP(A502,Sheet5!$A$2:$D$415,4,FALSE)</f>
        <v>77</v>
      </c>
      <c r="H502" s="7">
        <f>VLOOKUP(A502,Sheet5!$A$2:$D$415,3,FALSE)</f>
        <v>112</v>
      </c>
      <c r="I502" s="7">
        <f>VLOOKUP(A502,'1201-29周均耗用'!$A$1:$C$602,3,FALSE)</f>
        <v>32.2</v>
      </c>
    </row>
    <row r="503" spans="1:9">
      <c r="A503" s="13" t="s">
        <v>1011</v>
      </c>
      <c r="B503" s="14" t="s">
        <v>1012</v>
      </c>
      <c r="C503" s="13">
        <v>0</v>
      </c>
      <c r="D503" s="7">
        <f>IFERROR(VLOOKUP(A503,'1227-29耗量'!$A$1:$C$602,3,FALSE),0)</f>
        <v>0</v>
      </c>
      <c r="E503" s="7">
        <f t="shared" si="14"/>
        <v>0</v>
      </c>
      <c r="F503" s="7" t="str">
        <f t="shared" si="15"/>
        <v>無資料</v>
      </c>
      <c r="G503" s="7" t="e">
        <f>VLOOKUP(A503,Sheet5!$A$2:$D$415,4,FALSE)</f>
        <v>#N/A</v>
      </c>
      <c r="H503" s="7" t="e">
        <f>VLOOKUP(A503,Sheet5!$A$2:$D$415,3,FALSE)</f>
        <v>#N/A</v>
      </c>
      <c r="I503" s="7" t="e">
        <f>VLOOKUP(A503,'1201-29周均耗用'!$A$1:$C$602,3,FALSE)</f>
        <v>#N/A</v>
      </c>
    </row>
    <row r="504" spans="1:9">
      <c r="A504" s="13" t="s">
        <v>1013</v>
      </c>
      <c r="B504" s="14" t="s">
        <v>1014</v>
      </c>
      <c r="C504" s="13">
        <v>5453</v>
      </c>
      <c r="D504" s="7">
        <f>VLOOKUP(A504,'1227-29耗量'!$A$1:$C$602,3,FALSE)</f>
        <v>393</v>
      </c>
      <c r="E504" s="7">
        <f t="shared" si="14"/>
        <v>5060</v>
      </c>
      <c r="F504" s="7" t="str">
        <f t="shared" si="15"/>
        <v>錯誤</v>
      </c>
      <c r="G504" s="7">
        <f>VLOOKUP(A504,Sheet5!$A$2:$D$415,4,FALSE)</f>
        <v>4982</v>
      </c>
      <c r="H504" s="7">
        <f>VLOOKUP(A504,Sheet5!$A$2:$D$415,3,FALSE)</f>
        <v>12000</v>
      </c>
      <c r="I504" s="7">
        <f>VLOOKUP(A504,'1201-29周均耗用'!$A$1:$C$602,3,FALSE)</f>
        <v>3352.5</v>
      </c>
    </row>
    <row r="505" spans="1:9">
      <c r="A505" s="13" t="s">
        <v>1015</v>
      </c>
      <c r="B505" s="14" t="s">
        <v>1016</v>
      </c>
      <c r="C505" s="13">
        <v>0</v>
      </c>
      <c r="D505" s="7">
        <f>IFERROR(VLOOKUP(A505,'1227-29耗量'!$A$1:$C$602,3,FALSE),0)</f>
        <v>0</v>
      </c>
      <c r="E505" s="7">
        <f t="shared" si="14"/>
        <v>0</v>
      </c>
      <c r="F505" s="7" t="str">
        <f t="shared" si="15"/>
        <v>無資料</v>
      </c>
      <c r="G505" s="7" t="e">
        <f>VLOOKUP(A505,Sheet5!$A$2:$D$415,4,FALSE)</f>
        <v>#N/A</v>
      </c>
      <c r="H505" s="7" t="e">
        <f>VLOOKUP(A505,Sheet5!$A$2:$D$415,3,FALSE)</f>
        <v>#N/A</v>
      </c>
      <c r="I505" s="7" t="e">
        <f>VLOOKUP(A505,'1201-29周均耗用'!$A$1:$C$602,3,FALSE)</f>
        <v>#N/A</v>
      </c>
    </row>
    <row r="506" spans="1:9">
      <c r="A506" s="13" t="s">
        <v>1017</v>
      </c>
      <c r="B506" s="14" t="s">
        <v>1018</v>
      </c>
      <c r="C506" s="13">
        <v>926</v>
      </c>
      <c r="D506" s="7">
        <f>VLOOKUP(A506,'1227-29耗量'!$A$1:$C$602,3,FALSE)</f>
        <v>149</v>
      </c>
      <c r="E506" s="7">
        <f t="shared" si="14"/>
        <v>777</v>
      </c>
      <c r="F506" s="7" t="str">
        <f t="shared" si="15"/>
        <v>錯誤</v>
      </c>
      <c r="G506" s="7">
        <f>VLOOKUP(A506,Sheet5!$A$2:$D$415,4,FALSE)</f>
        <v>503</v>
      </c>
      <c r="H506" s="7">
        <f>VLOOKUP(A506,Sheet5!$A$2:$D$415,3,FALSE)</f>
        <v>2000</v>
      </c>
      <c r="I506" s="7">
        <f>VLOOKUP(A506,'1201-29周均耗用'!$A$1:$C$602,3,FALSE)</f>
        <v>621.8</v>
      </c>
    </row>
    <row r="507" spans="1:9">
      <c r="A507" s="13" t="s">
        <v>1019</v>
      </c>
      <c r="B507" s="14" t="s">
        <v>1020</v>
      </c>
      <c r="C507" s="13">
        <v>0</v>
      </c>
      <c r="D507" s="7">
        <f>IFERROR(VLOOKUP(A507,'1227-29耗量'!$A$1:$C$602,3,FALSE),0)</f>
        <v>0</v>
      </c>
      <c r="E507" s="7">
        <f t="shared" si="14"/>
        <v>0</v>
      </c>
      <c r="F507" s="7" t="str">
        <f t="shared" si="15"/>
        <v>無資料</v>
      </c>
      <c r="G507" s="7" t="e">
        <f>VLOOKUP(A507,Sheet5!$A$2:$D$415,4,FALSE)</f>
        <v>#N/A</v>
      </c>
      <c r="H507" s="7" t="e">
        <f>VLOOKUP(A507,Sheet5!$A$2:$D$415,3,FALSE)</f>
        <v>#N/A</v>
      </c>
      <c r="I507" s="7" t="e">
        <f>VLOOKUP(A507,'1201-29周均耗用'!$A$1:$C$602,3,FALSE)</f>
        <v>#N/A</v>
      </c>
    </row>
    <row r="508" spans="1:9">
      <c r="A508" s="13" t="s">
        <v>1021</v>
      </c>
      <c r="B508" s="14" t="s">
        <v>1022</v>
      </c>
      <c r="C508" s="13">
        <v>30</v>
      </c>
      <c r="D508" s="7">
        <f>IFERROR(VLOOKUP(A508,'1227-29耗量'!$A$1:$C$602,3,FALSE),0)</f>
        <v>0</v>
      </c>
      <c r="E508" s="7">
        <f t="shared" si="14"/>
        <v>30</v>
      </c>
      <c r="F508" s="7" t="str">
        <f t="shared" si="15"/>
        <v>無資料</v>
      </c>
      <c r="G508" s="7" t="e">
        <f>VLOOKUP(A508,Sheet5!$A$2:$D$415,4,FALSE)</f>
        <v>#N/A</v>
      </c>
      <c r="H508" s="7" t="e">
        <f>VLOOKUP(A508,Sheet5!$A$2:$D$415,3,FALSE)</f>
        <v>#N/A</v>
      </c>
      <c r="I508" s="7" t="e">
        <f>VLOOKUP(A508,'1201-29周均耗用'!$A$1:$C$602,3,FALSE)</f>
        <v>#N/A</v>
      </c>
    </row>
    <row r="509" spans="1:9">
      <c r="A509" s="13" t="s">
        <v>1023</v>
      </c>
      <c r="B509" s="14" t="s">
        <v>1024</v>
      </c>
      <c r="C509" s="13">
        <v>934</v>
      </c>
      <c r="D509" s="7">
        <f>VLOOKUP(A509,'1227-29耗量'!$A$1:$C$602,3,FALSE)</f>
        <v>9</v>
      </c>
      <c r="E509" s="7">
        <f t="shared" si="14"/>
        <v>925</v>
      </c>
      <c r="F509" s="7" t="str">
        <f t="shared" si="15"/>
        <v>錯誤</v>
      </c>
      <c r="G509" s="7">
        <f>VLOOKUP(A509,Sheet5!$A$2:$D$415,4,FALSE)</f>
        <v>51</v>
      </c>
      <c r="H509" s="7">
        <f>VLOOKUP(A509,Sheet5!$A$2:$D$415,3,FALSE)</f>
        <v>600</v>
      </c>
      <c r="I509" s="7">
        <f>VLOOKUP(A509,'1201-29周均耗用'!$A$1:$C$602,3,FALSE)</f>
        <v>100.2</v>
      </c>
    </row>
    <row r="510" spans="1:9">
      <c r="A510" s="13" t="s">
        <v>1025</v>
      </c>
      <c r="B510" s="14" t="s">
        <v>1026</v>
      </c>
      <c r="C510" s="13">
        <v>0</v>
      </c>
      <c r="D510" s="7">
        <f>IFERROR(VLOOKUP(A510,'1227-29耗量'!$A$1:$C$602,3,FALSE),0)</f>
        <v>0</v>
      </c>
      <c r="E510" s="7">
        <f t="shared" si="14"/>
        <v>0</v>
      </c>
      <c r="F510" s="7" t="str">
        <f t="shared" si="15"/>
        <v>無資料</v>
      </c>
      <c r="G510" s="7" t="e">
        <f>VLOOKUP(A510,Sheet5!$A$2:$D$415,4,FALSE)</f>
        <v>#N/A</v>
      </c>
      <c r="H510" s="7" t="e">
        <f>VLOOKUP(A510,Sheet5!$A$2:$D$415,3,FALSE)</f>
        <v>#N/A</v>
      </c>
      <c r="I510" s="7" t="e">
        <f>VLOOKUP(A510,'1201-29周均耗用'!$A$1:$C$602,3,FALSE)</f>
        <v>#N/A</v>
      </c>
    </row>
    <row r="511" spans="1:9">
      <c r="A511" s="13" t="s">
        <v>1027</v>
      </c>
      <c r="B511" s="14" t="s">
        <v>1028</v>
      </c>
      <c r="C511" s="13">
        <v>85</v>
      </c>
      <c r="D511" s="7">
        <f>IFERROR(VLOOKUP(A511,'1227-29耗量'!$A$1:$C$602,3,FALSE),0)</f>
        <v>1</v>
      </c>
      <c r="E511" s="7">
        <f t="shared" si="14"/>
        <v>84</v>
      </c>
      <c r="F511" s="7" t="str">
        <f t="shared" si="15"/>
        <v>無資料</v>
      </c>
      <c r="G511" s="7" t="e">
        <f>VLOOKUP(A511,Sheet5!$A$2:$D$415,4,FALSE)</f>
        <v>#N/A</v>
      </c>
      <c r="H511" s="7" t="e">
        <f>VLOOKUP(A511,Sheet5!$A$2:$D$415,3,FALSE)</f>
        <v>#N/A</v>
      </c>
      <c r="I511" s="7">
        <f>VLOOKUP(A511,'1201-29周均耗用'!$A$1:$C$602,3,FALSE)</f>
        <v>7.2</v>
      </c>
    </row>
    <row r="512" spans="1:9">
      <c r="A512" s="13" t="s">
        <v>1029</v>
      </c>
      <c r="B512" s="14" t="s">
        <v>1030</v>
      </c>
      <c r="C512" s="13">
        <v>0</v>
      </c>
      <c r="D512" s="7">
        <f>IFERROR(VLOOKUP(A512,'1227-29耗量'!$A$1:$C$602,3,FALSE),0)</f>
        <v>0</v>
      </c>
      <c r="E512" s="7">
        <f t="shared" si="14"/>
        <v>0</v>
      </c>
      <c r="F512" s="7" t="str">
        <f t="shared" si="15"/>
        <v>無資料</v>
      </c>
      <c r="G512" s="7" t="e">
        <f>VLOOKUP(A512,Sheet5!$A$2:$D$415,4,FALSE)</f>
        <v>#N/A</v>
      </c>
      <c r="H512" s="7" t="e">
        <f>VLOOKUP(A512,Sheet5!$A$2:$D$415,3,FALSE)</f>
        <v>#N/A</v>
      </c>
      <c r="I512" s="7" t="e">
        <f>VLOOKUP(A512,'1201-29周均耗用'!$A$1:$C$602,3,FALSE)</f>
        <v>#N/A</v>
      </c>
    </row>
    <row r="513" spans="1:9">
      <c r="A513" s="13" t="s">
        <v>1031</v>
      </c>
      <c r="B513" s="14" t="s">
        <v>1032</v>
      </c>
      <c r="C513" s="13">
        <v>156</v>
      </c>
      <c r="D513" s="7">
        <f>VLOOKUP(A513,'1227-29耗量'!$A$1:$C$602,3,FALSE)</f>
        <v>4</v>
      </c>
      <c r="E513" s="7">
        <f t="shared" si="14"/>
        <v>152</v>
      </c>
      <c r="F513" s="7" t="str">
        <f t="shared" si="15"/>
        <v>錯誤</v>
      </c>
      <c r="G513" s="7">
        <f>VLOOKUP(A513,Sheet5!$A$2:$D$415,4,FALSE)</f>
        <v>36</v>
      </c>
      <c r="H513" s="7">
        <f>VLOOKUP(A513,Sheet5!$A$2:$D$415,3,FALSE)</f>
        <v>80</v>
      </c>
      <c r="I513" s="7">
        <f>VLOOKUP(A513,'1201-29周均耗用'!$A$1:$C$602,3,FALSE)</f>
        <v>15.8</v>
      </c>
    </row>
    <row r="514" spans="1:9">
      <c r="A514" s="13" t="s">
        <v>1033</v>
      </c>
      <c r="B514" s="14" t="s">
        <v>1034</v>
      </c>
      <c r="C514" s="13">
        <v>887</v>
      </c>
      <c r="D514" s="7">
        <f>IFERROR(VLOOKUP(A514,'1227-29耗量'!$A$1:$C$602,3,FALSE),0)</f>
        <v>8</v>
      </c>
      <c r="E514" s="7">
        <f t="shared" si="14"/>
        <v>879</v>
      </c>
      <c r="F514" s="7" t="str">
        <f t="shared" si="15"/>
        <v>無資料</v>
      </c>
      <c r="G514" s="7" t="e">
        <f>VLOOKUP(A514,Sheet5!$A$2:$D$415,4,FALSE)</f>
        <v>#N/A</v>
      </c>
      <c r="H514" s="7" t="e">
        <f>VLOOKUP(A514,Sheet5!$A$2:$D$415,3,FALSE)</f>
        <v>#N/A</v>
      </c>
      <c r="I514" s="7">
        <f>VLOOKUP(A514,'1201-29周均耗用'!$A$1:$C$602,3,FALSE)</f>
        <v>111.2</v>
      </c>
    </row>
    <row r="515" spans="1:9">
      <c r="A515" s="13" t="s">
        <v>1035</v>
      </c>
      <c r="B515" s="14" t="s">
        <v>1036</v>
      </c>
      <c r="C515" s="13">
        <v>0</v>
      </c>
      <c r="D515" s="7">
        <f>IFERROR(VLOOKUP(A515,'1227-29耗量'!$A$1:$C$602,3,FALSE),0)</f>
        <v>0</v>
      </c>
      <c r="E515" s="7">
        <f t="shared" ref="E515:E578" si="16">C515-D515</f>
        <v>0</v>
      </c>
      <c r="F515" s="7" t="str">
        <f t="shared" ref="F515:F578" si="17">IFERROR(IF(E515=G515,"OK","錯誤"),"無資料")</f>
        <v>無資料</v>
      </c>
      <c r="G515" s="7" t="e">
        <f>VLOOKUP(A515,Sheet5!$A$2:$D$415,4,FALSE)</f>
        <v>#N/A</v>
      </c>
      <c r="H515" s="7" t="e">
        <f>VLOOKUP(A515,Sheet5!$A$2:$D$415,3,FALSE)</f>
        <v>#N/A</v>
      </c>
      <c r="I515" s="7" t="e">
        <f>VLOOKUP(A515,'1201-29周均耗用'!$A$1:$C$602,3,FALSE)</f>
        <v>#N/A</v>
      </c>
    </row>
    <row r="516" spans="1:9">
      <c r="A516" s="13" t="s">
        <v>1037</v>
      </c>
      <c r="B516" s="14" t="s">
        <v>1038</v>
      </c>
      <c r="C516" s="13">
        <v>6</v>
      </c>
      <c r="D516" s="7">
        <f>IFERROR(VLOOKUP(A516,'1227-29耗量'!$A$1:$C$602,3,FALSE),0)</f>
        <v>0</v>
      </c>
      <c r="E516" s="7">
        <f t="shared" si="16"/>
        <v>6</v>
      </c>
      <c r="F516" s="7" t="str">
        <f t="shared" si="17"/>
        <v>無資料</v>
      </c>
      <c r="G516" s="7" t="e">
        <f>VLOOKUP(A516,Sheet5!$A$2:$D$415,4,FALSE)</f>
        <v>#N/A</v>
      </c>
      <c r="H516" s="7" t="e">
        <f>VLOOKUP(A516,Sheet5!$A$2:$D$415,3,FALSE)</f>
        <v>#N/A</v>
      </c>
      <c r="I516" s="7">
        <f>VLOOKUP(A516,'1201-29周均耗用'!$A$1:$C$602,3,FALSE)</f>
        <v>6.5</v>
      </c>
    </row>
    <row r="517" spans="1:9">
      <c r="A517" s="13" t="s">
        <v>1039</v>
      </c>
      <c r="B517" s="14" t="s">
        <v>1040</v>
      </c>
      <c r="C517" s="13">
        <v>18</v>
      </c>
      <c r="D517" s="7">
        <f>IFERROR(VLOOKUP(A517,'1227-29耗量'!$A$1:$C$602,3,FALSE),0)</f>
        <v>0</v>
      </c>
      <c r="E517" s="7">
        <f t="shared" si="16"/>
        <v>18</v>
      </c>
      <c r="F517" s="7" t="str">
        <f t="shared" si="17"/>
        <v>無資料</v>
      </c>
      <c r="G517" s="7" t="e">
        <f>VLOOKUP(A517,Sheet5!$A$2:$D$415,4,FALSE)</f>
        <v>#N/A</v>
      </c>
      <c r="H517" s="7" t="e">
        <f>VLOOKUP(A517,Sheet5!$A$2:$D$415,3,FALSE)</f>
        <v>#N/A</v>
      </c>
      <c r="I517" s="7">
        <f>VLOOKUP(A517,'1201-29周均耗用'!$A$1:$C$602,3,FALSE)</f>
        <v>0.8</v>
      </c>
    </row>
    <row r="518" spans="1:9">
      <c r="A518" s="13" t="s">
        <v>1041</v>
      </c>
      <c r="B518" s="14" t="s">
        <v>1042</v>
      </c>
      <c r="C518" s="13">
        <v>51</v>
      </c>
      <c r="D518" s="7">
        <f>IFERROR(VLOOKUP(A518,'1227-29耗量'!$A$1:$C$602,3,FALSE),0)</f>
        <v>1</v>
      </c>
      <c r="E518" s="7">
        <f t="shared" si="16"/>
        <v>50</v>
      </c>
      <c r="F518" s="7" t="str">
        <f t="shared" si="17"/>
        <v>無資料</v>
      </c>
      <c r="G518" s="7" t="e">
        <f>VLOOKUP(A518,Sheet5!$A$2:$D$415,4,FALSE)</f>
        <v>#N/A</v>
      </c>
      <c r="H518" s="7" t="e">
        <f>VLOOKUP(A518,Sheet5!$A$2:$D$415,3,FALSE)</f>
        <v>#N/A</v>
      </c>
      <c r="I518" s="7">
        <f>VLOOKUP(A518,'1201-29周均耗用'!$A$1:$C$602,3,FALSE)</f>
        <v>31.8</v>
      </c>
    </row>
    <row r="519" spans="1:9">
      <c r="A519" s="13" t="s">
        <v>1043</v>
      </c>
      <c r="B519" s="14" t="s">
        <v>1044</v>
      </c>
      <c r="C519" s="13">
        <v>83</v>
      </c>
      <c r="D519" s="7">
        <f>IFERROR(VLOOKUP(A519,'1227-29耗量'!$A$1:$C$602,3,FALSE),0)</f>
        <v>0</v>
      </c>
      <c r="E519" s="7">
        <f t="shared" si="16"/>
        <v>83</v>
      </c>
      <c r="F519" s="7" t="str">
        <f t="shared" si="17"/>
        <v>無資料</v>
      </c>
      <c r="G519" s="7" t="e">
        <f>VLOOKUP(A519,Sheet5!$A$2:$D$415,4,FALSE)</f>
        <v>#N/A</v>
      </c>
      <c r="H519" s="7" t="e">
        <f>VLOOKUP(A519,Sheet5!$A$2:$D$415,3,FALSE)</f>
        <v>#N/A</v>
      </c>
      <c r="I519" s="7">
        <f>VLOOKUP(A519,'1201-29周均耗用'!$A$1:$C$602,3,FALSE)</f>
        <v>24.2</v>
      </c>
    </row>
    <row r="520" spans="1:9">
      <c r="A520" s="13" t="s">
        <v>1045</v>
      </c>
      <c r="B520" s="14" t="s">
        <v>1046</v>
      </c>
      <c r="C520" s="13">
        <v>80</v>
      </c>
      <c r="D520" s="7">
        <f>IFERROR(VLOOKUP(A520,'1227-29耗量'!$A$1:$C$602,3,FALSE),0)</f>
        <v>0</v>
      </c>
      <c r="E520" s="7">
        <f t="shared" si="16"/>
        <v>80</v>
      </c>
      <c r="F520" s="7" t="str">
        <f t="shared" si="17"/>
        <v>無資料</v>
      </c>
      <c r="G520" s="7" t="e">
        <f>VLOOKUP(A520,Sheet5!$A$2:$D$415,4,FALSE)</f>
        <v>#N/A</v>
      </c>
      <c r="H520" s="7" t="e">
        <f>VLOOKUP(A520,Sheet5!$A$2:$D$415,3,FALSE)</f>
        <v>#N/A</v>
      </c>
      <c r="I520" s="7">
        <f>VLOOKUP(A520,'1201-29周均耗用'!$A$1:$C$602,3,FALSE)</f>
        <v>8.5</v>
      </c>
    </row>
    <row r="521" spans="1:9">
      <c r="A521" s="13" t="s">
        <v>1047</v>
      </c>
      <c r="B521" s="14" t="s">
        <v>1048</v>
      </c>
      <c r="C521" s="13">
        <v>51</v>
      </c>
      <c r="D521" s="7">
        <f>IFERROR(VLOOKUP(A521,'1227-29耗量'!$A$1:$C$602,3,FALSE),0)</f>
        <v>0</v>
      </c>
      <c r="E521" s="7">
        <f t="shared" si="16"/>
        <v>51</v>
      </c>
      <c r="F521" s="7" t="str">
        <f t="shared" si="17"/>
        <v>無資料</v>
      </c>
      <c r="G521" s="7" t="e">
        <f>VLOOKUP(A521,Sheet5!$A$2:$D$415,4,FALSE)</f>
        <v>#N/A</v>
      </c>
      <c r="H521" s="7" t="e">
        <f>VLOOKUP(A521,Sheet5!$A$2:$D$415,3,FALSE)</f>
        <v>#N/A</v>
      </c>
      <c r="I521" s="7">
        <f>VLOOKUP(A521,'1201-29周均耗用'!$A$1:$C$602,3,FALSE)</f>
        <v>0.8</v>
      </c>
    </row>
    <row r="522" spans="1:9">
      <c r="A522" s="13" t="s">
        <v>1049</v>
      </c>
      <c r="B522" s="14" t="s">
        <v>1050</v>
      </c>
      <c r="C522" s="13">
        <v>430</v>
      </c>
      <c r="D522" s="7">
        <f>VLOOKUP(A522,'1227-29耗量'!$A$1:$C$602,3,FALSE)</f>
        <v>4</v>
      </c>
      <c r="E522" s="7">
        <f t="shared" si="16"/>
        <v>426</v>
      </c>
      <c r="F522" s="7" t="str">
        <f t="shared" si="17"/>
        <v>錯誤</v>
      </c>
      <c r="G522" s="7">
        <f>VLOOKUP(A522,Sheet5!$A$2:$D$415,4,FALSE)</f>
        <v>69</v>
      </c>
      <c r="H522" s="7">
        <f>VLOOKUP(A522,Sheet5!$A$2:$D$415,3,FALSE)</f>
        <v>240</v>
      </c>
      <c r="I522" s="7">
        <f>VLOOKUP(A522,'1201-29周均耗用'!$A$1:$C$602,3,FALSE)</f>
        <v>65.2</v>
      </c>
    </row>
    <row r="523" spans="1:9">
      <c r="A523" s="13" t="s">
        <v>1051</v>
      </c>
      <c r="B523" s="14" t="s">
        <v>1052</v>
      </c>
      <c r="C523" s="13">
        <v>1969</v>
      </c>
      <c r="D523" s="7">
        <f>VLOOKUP(A523,'1227-29耗量'!$A$1:$C$602,3,FALSE)</f>
        <v>151</v>
      </c>
      <c r="E523" s="7">
        <f t="shared" si="16"/>
        <v>1818</v>
      </c>
      <c r="F523" s="7" t="str">
        <f t="shared" si="17"/>
        <v>錯誤</v>
      </c>
      <c r="G523" s="7">
        <f>VLOOKUP(A523,Sheet5!$A$2:$D$415,4,FALSE)</f>
        <v>804</v>
      </c>
      <c r="H523" s="7">
        <f>VLOOKUP(A523,Sheet5!$A$2:$D$415,3,FALSE)</f>
        <v>2520</v>
      </c>
      <c r="I523" s="7">
        <f>VLOOKUP(A523,'1201-29周均耗用'!$A$1:$C$602,3,FALSE)</f>
        <v>664</v>
      </c>
    </row>
    <row r="524" spans="1:9">
      <c r="A524" s="13" t="s">
        <v>1053</v>
      </c>
      <c r="B524" s="14" t="s">
        <v>1054</v>
      </c>
      <c r="C524" s="13">
        <v>33</v>
      </c>
      <c r="D524" s="7">
        <f>IFERROR(VLOOKUP(A524,'1227-29耗量'!$A$1:$C$602,3,FALSE),0)</f>
        <v>0</v>
      </c>
      <c r="E524" s="7">
        <f t="shared" si="16"/>
        <v>33</v>
      </c>
      <c r="F524" s="7" t="str">
        <f t="shared" si="17"/>
        <v>無資料</v>
      </c>
      <c r="G524" s="7" t="e">
        <f>VLOOKUP(A524,Sheet5!$A$2:$D$415,4,FALSE)</f>
        <v>#N/A</v>
      </c>
      <c r="H524" s="7" t="e">
        <f>VLOOKUP(A524,Sheet5!$A$2:$D$415,3,FALSE)</f>
        <v>#N/A</v>
      </c>
      <c r="I524" s="7">
        <f>VLOOKUP(A524,'1201-29周均耗用'!$A$1:$C$602,3,FALSE)</f>
        <v>16.2</v>
      </c>
    </row>
    <row r="525" spans="1:9">
      <c r="A525" s="13" t="s">
        <v>1055</v>
      </c>
      <c r="B525" s="14" t="s">
        <v>1056</v>
      </c>
      <c r="C525" s="13">
        <v>54</v>
      </c>
      <c r="D525" s="7">
        <f>IFERROR(VLOOKUP(A525,'1227-29耗量'!$A$1:$C$602,3,FALSE),0)</f>
        <v>-1</v>
      </c>
      <c r="E525" s="7">
        <f t="shared" si="16"/>
        <v>55</v>
      </c>
      <c r="F525" s="7" t="str">
        <f t="shared" si="17"/>
        <v>無資料</v>
      </c>
      <c r="G525" s="7" t="e">
        <f>VLOOKUP(A525,Sheet5!$A$2:$D$415,4,FALSE)</f>
        <v>#N/A</v>
      </c>
      <c r="H525" s="7" t="e">
        <f>VLOOKUP(A525,Sheet5!$A$2:$D$415,3,FALSE)</f>
        <v>#N/A</v>
      </c>
      <c r="I525" s="7">
        <f>VLOOKUP(A525,'1201-29周均耗用'!$A$1:$C$602,3,FALSE)</f>
        <v>10</v>
      </c>
    </row>
    <row r="526" spans="1:9">
      <c r="A526" s="13" t="s">
        <v>1057</v>
      </c>
      <c r="B526" s="14" t="s">
        <v>1058</v>
      </c>
      <c r="C526" s="13">
        <v>115</v>
      </c>
      <c r="D526" s="7">
        <f>IFERROR(VLOOKUP(A526,'1227-29耗量'!$A$1:$C$602,3,FALSE),0)</f>
        <v>0</v>
      </c>
      <c r="E526" s="7">
        <f t="shared" si="16"/>
        <v>115</v>
      </c>
      <c r="F526" s="7" t="str">
        <f t="shared" si="17"/>
        <v>無資料</v>
      </c>
      <c r="G526" s="7" t="e">
        <f>VLOOKUP(A526,Sheet5!$A$2:$D$415,4,FALSE)</f>
        <v>#N/A</v>
      </c>
      <c r="H526" s="7" t="e">
        <f>VLOOKUP(A526,Sheet5!$A$2:$D$415,3,FALSE)</f>
        <v>#N/A</v>
      </c>
      <c r="I526" s="7">
        <f>VLOOKUP(A526,'1201-29周均耗用'!$A$1:$C$602,3,FALSE)</f>
        <v>2.5</v>
      </c>
    </row>
    <row r="527" spans="1:9">
      <c r="A527" s="13" t="s">
        <v>1059</v>
      </c>
      <c r="B527" s="14" t="s">
        <v>1060</v>
      </c>
      <c r="C527" s="13">
        <v>1219</v>
      </c>
      <c r="D527" s="7">
        <f>IFERROR(VLOOKUP(A527,'1227-29耗量'!$A$1:$C$602,3,FALSE),0)</f>
        <v>0</v>
      </c>
      <c r="E527" s="7">
        <f t="shared" si="16"/>
        <v>1219</v>
      </c>
      <c r="F527" s="7" t="str">
        <f t="shared" si="17"/>
        <v>無資料</v>
      </c>
      <c r="G527" s="7" t="e">
        <f>VLOOKUP(A527,Sheet5!$A$2:$D$415,4,FALSE)</f>
        <v>#N/A</v>
      </c>
      <c r="H527" s="7" t="e">
        <f>VLOOKUP(A527,Sheet5!$A$2:$D$415,3,FALSE)</f>
        <v>#N/A</v>
      </c>
      <c r="I527" s="7">
        <f>VLOOKUP(A527,'1201-29周均耗用'!$A$1:$C$602,3,FALSE)</f>
        <v>10.5</v>
      </c>
    </row>
    <row r="528" spans="1:9">
      <c r="A528" s="13" t="s">
        <v>1061</v>
      </c>
      <c r="B528" s="14" t="s">
        <v>1062</v>
      </c>
      <c r="C528" s="13">
        <v>0</v>
      </c>
      <c r="D528" s="7">
        <f>IFERROR(VLOOKUP(A528,'1227-29耗量'!$A$1:$C$602,3,FALSE),0)</f>
        <v>0</v>
      </c>
      <c r="E528" s="7">
        <f t="shared" si="16"/>
        <v>0</v>
      </c>
      <c r="F528" s="7" t="str">
        <f t="shared" si="17"/>
        <v>無資料</v>
      </c>
      <c r="G528" s="7" t="e">
        <f>VLOOKUP(A528,Sheet5!$A$2:$D$415,4,FALSE)</f>
        <v>#N/A</v>
      </c>
      <c r="H528" s="7" t="e">
        <f>VLOOKUP(A528,Sheet5!$A$2:$D$415,3,FALSE)</f>
        <v>#N/A</v>
      </c>
      <c r="I528" s="7" t="e">
        <f>VLOOKUP(A528,'1201-29周均耗用'!$A$1:$C$602,3,FALSE)</f>
        <v>#N/A</v>
      </c>
    </row>
    <row r="529" spans="1:9">
      <c r="A529" s="13" t="s">
        <v>1063</v>
      </c>
      <c r="B529" s="14" t="s">
        <v>1064</v>
      </c>
      <c r="C529" s="13">
        <v>58</v>
      </c>
      <c r="D529" s="7">
        <f>VLOOKUP(A529,'1227-29耗量'!$A$1:$C$602,3,FALSE)</f>
        <v>3</v>
      </c>
      <c r="E529" s="7">
        <f t="shared" si="16"/>
        <v>55</v>
      </c>
      <c r="F529" s="7" t="str">
        <f t="shared" si="17"/>
        <v>錯誤</v>
      </c>
      <c r="G529" s="7">
        <f>VLOOKUP(A529,Sheet5!$A$2:$D$415,4,FALSE)</f>
        <v>128</v>
      </c>
      <c r="H529" s="7">
        <f>VLOOKUP(A529,Sheet5!$A$2:$D$415,3,FALSE)</f>
        <v>100</v>
      </c>
      <c r="I529" s="7">
        <f>VLOOKUP(A529,'1201-29周均耗用'!$A$1:$C$602,3,FALSE)</f>
        <v>35.2</v>
      </c>
    </row>
    <row r="530" spans="1:9">
      <c r="A530" s="13" t="s">
        <v>1065</v>
      </c>
      <c r="B530" s="14" t="s">
        <v>1066</v>
      </c>
      <c r="C530" s="13">
        <v>349</v>
      </c>
      <c r="D530" s="7">
        <f>IFERROR(VLOOKUP(A530,'1227-29耗量'!$A$1:$C$602,3,FALSE),0)</f>
        <v>2</v>
      </c>
      <c r="E530" s="7">
        <f t="shared" si="16"/>
        <v>347</v>
      </c>
      <c r="F530" s="7" t="str">
        <f t="shared" si="17"/>
        <v>無資料</v>
      </c>
      <c r="G530" s="7" t="e">
        <f>VLOOKUP(A530,Sheet5!$A$2:$D$415,4,FALSE)</f>
        <v>#N/A</v>
      </c>
      <c r="H530" s="7" t="e">
        <f>VLOOKUP(A530,Sheet5!$A$2:$D$415,3,FALSE)</f>
        <v>#N/A</v>
      </c>
      <c r="I530" s="7">
        <f>VLOOKUP(A530,'1201-29周均耗用'!$A$1:$C$602,3,FALSE)</f>
        <v>49.2</v>
      </c>
    </row>
    <row r="531" spans="1:9">
      <c r="A531" s="13" t="s">
        <v>1067</v>
      </c>
      <c r="B531" s="14" t="s">
        <v>1068</v>
      </c>
      <c r="C531" s="13">
        <v>31</v>
      </c>
      <c r="D531" s="7">
        <f>IFERROR(VLOOKUP(A531,'1227-29耗量'!$A$1:$C$602,3,FALSE),0)</f>
        <v>0</v>
      </c>
      <c r="E531" s="7">
        <f t="shared" si="16"/>
        <v>31</v>
      </c>
      <c r="F531" s="7" t="str">
        <f t="shared" si="17"/>
        <v>無資料</v>
      </c>
      <c r="G531" s="7" t="e">
        <f>VLOOKUP(A531,Sheet5!$A$2:$D$415,4,FALSE)</f>
        <v>#N/A</v>
      </c>
      <c r="H531" s="7" t="e">
        <f>VLOOKUP(A531,Sheet5!$A$2:$D$415,3,FALSE)</f>
        <v>#N/A</v>
      </c>
      <c r="I531" s="7" t="e">
        <f>VLOOKUP(A531,'1201-29周均耗用'!$A$1:$C$602,3,FALSE)</f>
        <v>#N/A</v>
      </c>
    </row>
    <row r="532" spans="1:9">
      <c r="A532" s="13" t="s">
        <v>1069</v>
      </c>
      <c r="B532" s="14" t="s">
        <v>1070</v>
      </c>
      <c r="C532" s="13">
        <v>273</v>
      </c>
      <c r="D532" s="7">
        <f>VLOOKUP(A532,'1227-29耗量'!$A$1:$C$602,3,FALSE)</f>
        <v>19</v>
      </c>
      <c r="E532" s="7">
        <f t="shared" si="16"/>
        <v>254</v>
      </c>
      <c r="F532" s="7" t="str">
        <f t="shared" si="17"/>
        <v>錯誤</v>
      </c>
      <c r="G532" s="7">
        <f>VLOOKUP(A532,Sheet5!$A$2:$D$415,4,FALSE)</f>
        <v>55</v>
      </c>
      <c r="H532" s="7">
        <f>VLOOKUP(A532,Sheet5!$A$2:$D$415,3,FALSE)</f>
        <v>360</v>
      </c>
      <c r="I532" s="7">
        <f>VLOOKUP(A532,'1201-29周均耗用'!$A$1:$C$602,3,FALSE)</f>
        <v>101.5</v>
      </c>
    </row>
    <row r="533" spans="1:9">
      <c r="A533" s="13" t="s">
        <v>1071</v>
      </c>
      <c r="B533" s="14" t="s">
        <v>1072</v>
      </c>
      <c r="C533" s="13">
        <v>10</v>
      </c>
      <c r="D533" s="7">
        <f>IFERROR(VLOOKUP(A533,'1227-29耗量'!$A$1:$C$602,3,FALSE),0)</f>
        <v>0</v>
      </c>
      <c r="E533" s="7">
        <f t="shared" si="16"/>
        <v>10</v>
      </c>
      <c r="F533" s="7" t="str">
        <f t="shared" si="17"/>
        <v>錯誤</v>
      </c>
      <c r="G533" s="7">
        <f>VLOOKUP(A533,Sheet5!$A$2:$D$415,4,FALSE)</f>
        <v>-15</v>
      </c>
      <c r="H533" s="7">
        <f>VLOOKUP(A533,Sheet5!$A$2:$D$415,3,FALSE)</f>
        <v>20</v>
      </c>
      <c r="I533" s="7" t="e">
        <f>VLOOKUP(A533,'1201-29周均耗用'!$A$1:$C$602,3,FALSE)</f>
        <v>#N/A</v>
      </c>
    </row>
    <row r="534" spans="1:9">
      <c r="A534" s="13" t="s">
        <v>1073</v>
      </c>
      <c r="B534" s="14" t="s">
        <v>1074</v>
      </c>
      <c r="C534" s="13">
        <v>187</v>
      </c>
      <c r="D534" s="7">
        <f>VLOOKUP(A534,'1227-29耗量'!$A$1:$C$602,3,FALSE)</f>
        <v>0</v>
      </c>
      <c r="E534" s="7">
        <f t="shared" si="16"/>
        <v>187</v>
      </c>
      <c r="F534" s="7" t="str">
        <f t="shared" si="17"/>
        <v>錯誤</v>
      </c>
      <c r="G534" s="7">
        <f>VLOOKUP(A534,Sheet5!$A$2:$D$415,4,FALSE)</f>
        <v>121</v>
      </c>
      <c r="H534" s="7">
        <f>VLOOKUP(A534,Sheet5!$A$2:$D$415,3,FALSE)</f>
        <v>90</v>
      </c>
      <c r="I534" s="7">
        <f>VLOOKUP(A534,'1201-29周均耗用'!$A$1:$C$602,3,FALSE)</f>
        <v>38</v>
      </c>
    </row>
    <row r="535" spans="1:9">
      <c r="A535" s="13" t="s">
        <v>1075</v>
      </c>
      <c r="B535" s="14" t="s">
        <v>1076</v>
      </c>
      <c r="C535" s="13">
        <v>42</v>
      </c>
      <c r="D535" s="7">
        <f>IFERROR(VLOOKUP(A535,'1227-29耗量'!$A$1:$C$602,3,FALSE),0)</f>
        <v>0</v>
      </c>
      <c r="E535" s="7">
        <f t="shared" si="16"/>
        <v>42</v>
      </c>
      <c r="F535" s="7" t="str">
        <f t="shared" si="17"/>
        <v>無資料</v>
      </c>
      <c r="G535" s="7" t="e">
        <f>VLOOKUP(A535,Sheet5!$A$2:$D$415,4,FALSE)</f>
        <v>#N/A</v>
      </c>
      <c r="H535" s="7" t="e">
        <f>VLOOKUP(A535,Sheet5!$A$2:$D$415,3,FALSE)</f>
        <v>#N/A</v>
      </c>
      <c r="I535" s="7">
        <f>VLOOKUP(A535,'1201-29周均耗用'!$A$1:$C$602,3,FALSE)</f>
        <v>1.8</v>
      </c>
    </row>
    <row r="536" spans="1:9">
      <c r="A536" s="13" t="s">
        <v>1077</v>
      </c>
      <c r="B536" s="14" t="s">
        <v>1078</v>
      </c>
      <c r="C536" s="13">
        <v>674</v>
      </c>
      <c r="D536" s="7">
        <f>IFERROR(VLOOKUP(A536,'1227-29耗量'!$A$1:$C$602,3,FALSE),0)</f>
        <v>36</v>
      </c>
      <c r="E536" s="7">
        <f t="shared" si="16"/>
        <v>638</v>
      </c>
      <c r="F536" s="7" t="str">
        <f t="shared" si="17"/>
        <v>無資料</v>
      </c>
      <c r="G536" s="7" t="e">
        <f>VLOOKUP(A536,Sheet5!$A$2:$D$415,4,FALSE)</f>
        <v>#N/A</v>
      </c>
      <c r="H536" s="7" t="e">
        <f>VLOOKUP(A536,Sheet5!$A$2:$D$415,3,FALSE)</f>
        <v>#N/A</v>
      </c>
      <c r="I536" s="7">
        <f>VLOOKUP(A536,'1201-29周均耗用'!$A$1:$C$602,3,FALSE)</f>
        <v>113.8</v>
      </c>
    </row>
    <row r="537" spans="1:9">
      <c r="A537" s="13" t="s">
        <v>1079</v>
      </c>
      <c r="B537" s="14" t="s">
        <v>1080</v>
      </c>
      <c r="C537" s="13">
        <v>567</v>
      </c>
      <c r="D537" s="7">
        <f>VLOOKUP(A537,'1227-29耗量'!$A$1:$C$602,3,FALSE)</f>
        <v>21</v>
      </c>
      <c r="E537" s="7">
        <f t="shared" si="16"/>
        <v>546</v>
      </c>
      <c r="F537" s="7" t="str">
        <f t="shared" si="17"/>
        <v>錯誤</v>
      </c>
      <c r="G537" s="7">
        <f>VLOOKUP(A537,Sheet5!$A$2:$D$415,4,FALSE)</f>
        <v>240</v>
      </c>
      <c r="H537" s="7">
        <f>VLOOKUP(A537,Sheet5!$A$2:$D$415,3,FALSE)</f>
        <v>600</v>
      </c>
      <c r="I537" s="7">
        <f>VLOOKUP(A537,'1201-29周均耗用'!$A$1:$C$602,3,FALSE)</f>
        <v>150.2</v>
      </c>
    </row>
    <row r="538" spans="1:9">
      <c r="A538" s="13" t="s">
        <v>1081</v>
      </c>
      <c r="B538" s="14" t="s">
        <v>1082</v>
      </c>
      <c r="C538" s="13">
        <v>0</v>
      </c>
      <c r="D538" s="7">
        <f>IFERROR(VLOOKUP(A538,'1227-29耗量'!$A$1:$C$602,3,FALSE),0)</f>
        <v>0</v>
      </c>
      <c r="E538" s="7">
        <f t="shared" si="16"/>
        <v>0</v>
      </c>
      <c r="F538" s="7" t="str">
        <f t="shared" si="17"/>
        <v>無資料</v>
      </c>
      <c r="G538" s="7" t="e">
        <f>VLOOKUP(A538,Sheet5!$A$2:$D$415,4,FALSE)</f>
        <v>#N/A</v>
      </c>
      <c r="H538" s="7" t="e">
        <f>VLOOKUP(A538,Sheet5!$A$2:$D$415,3,FALSE)</f>
        <v>#N/A</v>
      </c>
      <c r="I538" s="7" t="e">
        <f>VLOOKUP(A538,'1201-29周均耗用'!$A$1:$C$602,3,FALSE)</f>
        <v>#N/A</v>
      </c>
    </row>
    <row r="539" spans="1:9">
      <c r="A539" s="13" t="s">
        <v>1083</v>
      </c>
      <c r="B539" s="14" t="s">
        <v>1084</v>
      </c>
      <c r="C539" s="13">
        <v>919</v>
      </c>
      <c r="D539" s="7">
        <f>VLOOKUP(A539,'1227-29耗量'!$A$1:$C$602,3,FALSE)</f>
        <v>68</v>
      </c>
      <c r="E539" s="7">
        <f t="shared" si="16"/>
        <v>851</v>
      </c>
      <c r="F539" s="7" t="str">
        <f t="shared" si="17"/>
        <v>錯誤</v>
      </c>
      <c r="G539" s="7">
        <f>VLOOKUP(A539,Sheet5!$A$2:$D$415,4,FALSE)</f>
        <v>756</v>
      </c>
      <c r="H539" s="7">
        <f>VLOOKUP(A539,Sheet5!$A$2:$D$415,3,FALSE)</f>
        <v>1200</v>
      </c>
      <c r="I539" s="7">
        <f>VLOOKUP(A539,'1201-29周均耗用'!$A$1:$C$602,3,FALSE)</f>
        <v>327.5</v>
      </c>
    </row>
    <row r="540" spans="1:9">
      <c r="A540" s="13" t="s">
        <v>1085</v>
      </c>
      <c r="B540" s="14" t="s">
        <v>1086</v>
      </c>
      <c r="C540" s="13">
        <v>296</v>
      </c>
      <c r="D540" s="7">
        <f>IFERROR(VLOOKUP(A540,'1227-29耗量'!$A$1:$C$602,3,FALSE),0)</f>
        <v>2</v>
      </c>
      <c r="E540" s="7">
        <f t="shared" si="16"/>
        <v>294</v>
      </c>
      <c r="F540" s="7" t="str">
        <f t="shared" si="17"/>
        <v>無資料</v>
      </c>
      <c r="G540" s="7" t="e">
        <f>VLOOKUP(A540,Sheet5!$A$2:$D$415,4,FALSE)</f>
        <v>#N/A</v>
      </c>
      <c r="H540" s="7" t="e">
        <f>VLOOKUP(A540,Sheet5!$A$2:$D$415,3,FALSE)</f>
        <v>#N/A</v>
      </c>
      <c r="I540" s="7">
        <f>VLOOKUP(A540,'1201-29周均耗用'!$A$1:$C$602,3,FALSE)</f>
        <v>21.8</v>
      </c>
    </row>
    <row r="541" spans="1:9">
      <c r="A541" s="13" t="s">
        <v>1087</v>
      </c>
      <c r="B541" s="14" t="s">
        <v>1088</v>
      </c>
      <c r="C541" s="13">
        <v>0</v>
      </c>
      <c r="D541" s="7">
        <f>IFERROR(VLOOKUP(A541,'1227-29耗量'!$A$1:$C$602,3,FALSE),0)</f>
        <v>0</v>
      </c>
      <c r="E541" s="7">
        <f t="shared" si="16"/>
        <v>0</v>
      </c>
      <c r="F541" s="7" t="str">
        <f t="shared" si="17"/>
        <v>無資料</v>
      </c>
      <c r="G541" s="7" t="e">
        <f>VLOOKUP(A541,Sheet5!$A$2:$D$415,4,FALSE)</f>
        <v>#N/A</v>
      </c>
      <c r="H541" s="7" t="e">
        <f>VLOOKUP(A541,Sheet5!$A$2:$D$415,3,FALSE)</f>
        <v>#N/A</v>
      </c>
      <c r="I541" s="7" t="e">
        <f>VLOOKUP(A541,'1201-29周均耗用'!$A$1:$C$602,3,FALSE)</f>
        <v>#N/A</v>
      </c>
    </row>
    <row r="542" spans="1:9">
      <c r="A542" s="13" t="s">
        <v>1089</v>
      </c>
      <c r="B542" s="14" t="s">
        <v>1090</v>
      </c>
      <c r="C542" s="13">
        <v>0</v>
      </c>
      <c r="D542" s="7">
        <f>IFERROR(VLOOKUP(A542,'1227-29耗量'!$A$1:$C$602,3,FALSE),0)</f>
        <v>0</v>
      </c>
      <c r="E542" s="7">
        <f t="shared" si="16"/>
        <v>0</v>
      </c>
      <c r="F542" s="7" t="str">
        <f t="shared" si="17"/>
        <v>無資料</v>
      </c>
      <c r="G542" s="7" t="e">
        <f>VLOOKUP(A542,Sheet5!$A$2:$D$415,4,FALSE)</f>
        <v>#N/A</v>
      </c>
      <c r="H542" s="7" t="e">
        <f>VLOOKUP(A542,Sheet5!$A$2:$D$415,3,FALSE)</f>
        <v>#N/A</v>
      </c>
      <c r="I542" s="7" t="e">
        <f>VLOOKUP(A542,'1201-29周均耗用'!$A$1:$C$602,3,FALSE)</f>
        <v>#N/A</v>
      </c>
    </row>
    <row r="543" spans="1:9">
      <c r="A543" s="13" t="s">
        <v>1091</v>
      </c>
      <c r="B543" s="14" t="s">
        <v>1092</v>
      </c>
      <c r="C543" s="13">
        <v>210</v>
      </c>
      <c r="D543" s="7">
        <f>IFERROR(VLOOKUP(A543,'1227-29耗量'!$A$1:$C$602,3,FALSE),0)</f>
        <v>0</v>
      </c>
      <c r="E543" s="7">
        <f t="shared" si="16"/>
        <v>210</v>
      </c>
      <c r="F543" s="7" t="str">
        <f t="shared" si="17"/>
        <v>錯誤</v>
      </c>
      <c r="G543" s="7">
        <f>VLOOKUP(A543,Sheet5!$A$2:$D$415,4,FALSE)</f>
        <v>110</v>
      </c>
      <c r="H543" s="7">
        <f>VLOOKUP(A543,Sheet5!$A$2:$D$415,3,FALSE)</f>
        <v>50</v>
      </c>
      <c r="I543" s="7" t="e">
        <f>VLOOKUP(A543,'1201-29周均耗用'!$A$1:$C$602,3,FALSE)</f>
        <v>#N/A</v>
      </c>
    </row>
    <row r="544" spans="1:9">
      <c r="A544" s="13" t="s">
        <v>1093</v>
      </c>
      <c r="B544" s="14" t="s">
        <v>1094</v>
      </c>
      <c r="C544" s="13">
        <v>0</v>
      </c>
      <c r="D544" s="7">
        <f>IFERROR(VLOOKUP(A544,'1227-29耗量'!$A$1:$C$602,3,FALSE),0)</f>
        <v>0</v>
      </c>
      <c r="E544" s="7">
        <f t="shared" si="16"/>
        <v>0</v>
      </c>
      <c r="F544" s="7" t="str">
        <f t="shared" si="17"/>
        <v>無資料</v>
      </c>
      <c r="G544" s="7" t="e">
        <f>VLOOKUP(A544,Sheet5!$A$2:$D$415,4,FALSE)</f>
        <v>#N/A</v>
      </c>
      <c r="H544" s="7" t="e">
        <f>VLOOKUP(A544,Sheet5!$A$2:$D$415,3,FALSE)</f>
        <v>#N/A</v>
      </c>
      <c r="I544" s="7" t="e">
        <f>VLOOKUP(A544,'1201-29周均耗用'!$A$1:$C$602,3,FALSE)</f>
        <v>#N/A</v>
      </c>
    </row>
    <row r="545" spans="1:9">
      <c r="A545" s="13" t="s">
        <v>1095</v>
      </c>
      <c r="B545" s="14" t="s">
        <v>1096</v>
      </c>
      <c r="C545" s="13">
        <v>53</v>
      </c>
      <c r="D545" s="7">
        <f>IFERROR(VLOOKUP(A545,'1227-29耗量'!$A$1:$C$602,3,FALSE),0)</f>
        <v>0</v>
      </c>
      <c r="E545" s="7">
        <f t="shared" si="16"/>
        <v>53</v>
      </c>
      <c r="F545" s="7" t="str">
        <f t="shared" si="17"/>
        <v>錯誤</v>
      </c>
      <c r="G545" s="7">
        <f>VLOOKUP(A545,Sheet5!$A$2:$D$415,4,FALSE)</f>
        <v>8</v>
      </c>
      <c r="H545" s="7">
        <f>VLOOKUP(A545,Sheet5!$A$2:$D$415,3,FALSE)</f>
        <v>16</v>
      </c>
      <c r="I545" s="7">
        <f>VLOOKUP(A545,'1201-29周均耗用'!$A$1:$C$602,3,FALSE)</f>
        <v>4.2</v>
      </c>
    </row>
    <row r="546" spans="1:9">
      <c r="A546" s="13" t="s">
        <v>1097</v>
      </c>
      <c r="B546" s="14" t="s">
        <v>1098</v>
      </c>
      <c r="C546" s="13">
        <v>4</v>
      </c>
      <c r="D546" s="7">
        <f>IFERROR(VLOOKUP(A546,'1227-29耗量'!$A$1:$C$602,3,FALSE),0)</f>
        <v>0</v>
      </c>
      <c r="E546" s="7">
        <f t="shared" si="16"/>
        <v>4</v>
      </c>
      <c r="F546" s="7" t="str">
        <f t="shared" si="17"/>
        <v>錯誤</v>
      </c>
      <c r="G546" s="7">
        <f>VLOOKUP(A546,Sheet5!$A$2:$D$415,4,FALSE)</f>
        <v>2</v>
      </c>
      <c r="H546" s="7">
        <f>VLOOKUP(A546,Sheet5!$A$2:$D$415,3,FALSE)</f>
        <v>2</v>
      </c>
      <c r="I546" s="7">
        <f>VLOOKUP(A546,'1201-29周均耗用'!$A$1:$C$602,3,FALSE)</f>
        <v>0.8</v>
      </c>
    </row>
    <row r="547" spans="1:9">
      <c r="A547" s="13" t="s">
        <v>1099</v>
      </c>
      <c r="B547" s="14" t="s">
        <v>1100</v>
      </c>
      <c r="C547" s="13">
        <v>20</v>
      </c>
      <c r="D547" s="7">
        <f>IFERROR(VLOOKUP(A547,'1227-29耗量'!$A$1:$C$602,3,FALSE),0)</f>
        <v>0</v>
      </c>
      <c r="E547" s="7">
        <f t="shared" si="16"/>
        <v>20</v>
      </c>
      <c r="F547" s="7" t="str">
        <f t="shared" si="17"/>
        <v>無資料</v>
      </c>
      <c r="G547" s="7" t="e">
        <f>VLOOKUP(A547,Sheet5!$A$2:$D$415,4,FALSE)</f>
        <v>#N/A</v>
      </c>
      <c r="H547" s="7" t="e">
        <f>VLOOKUP(A547,Sheet5!$A$2:$D$415,3,FALSE)</f>
        <v>#N/A</v>
      </c>
      <c r="I547" s="7" t="e">
        <f>VLOOKUP(A547,'1201-29周均耗用'!$A$1:$C$602,3,FALSE)</f>
        <v>#N/A</v>
      </c>
    </row>
    <row r="548" spans="1:9">
      <c r="A548" s="13" t="s">
        <v>1101</v>
      </c>
      <c r="B548" s="14" t="s">
        <v>1102</v>
      </c>
      <c r="C548" s="13">
        <v>4</v>
      </c>
      <c r="D548" s="7">
        <f>IFERROR(VLOOKUP(A548,'1227-29耗量'!$A$1:$C$602,3,FALSE),0)</f>
        <v>2</v>
      </c>
      <c r="E548" s="7">
        <f t="shared" si="16"/>
        <v>2</v>
      </c>
      <c r="F548" s="7" t="str">
        <f t="shared" si="17"/>
        <v>無資料</v>
      </c>
      <c r="G548" s="7" t="e">
        <f>VLOOKUP(A548,Sheet5!$A$2:$D$415,4,FALSE)</f>
        <v>#N/A</v>
      </c>
      <c r="H548" s="7" t="e">
        <f>VLOOKUP(A548,Sheet5!$A$2:$D$415,3,FALSE)</f>
        <v>#N/A</v>
      </c>
      <c r="I548" s="7">
        <f>VLOOKUP(A548,'1201-29周均耗用'!$A$1:$C$602,3,FALSE)</f>
        <v>3.2</v>
      </c>
    </row>
    <row r="549" spans="1:9">
      <c r="A549" s="13" t="s">
        <v>1103</v>
      </c>
      <c r="B549" s="14" t="s">
        <v>1104</v>
      </c>
      <c r="C549" s="13">
        <v>0</v>
      </c>
      <c r="D549" s="7">
        <f>IFERROR(VLOOKUP(A549,'1227-29耗量'!$A$1:$C$602,3,FALSE),0)</f>
        <v>0</v>
      </c>
      <c r="E549" s="7">
        <f t="shared" si="16"/>
        <v>0</v>
      </c>
      <c r="F549" s="7" t="str">
        <f t="shared" si="17"/>
        <v>無資料</v>
      </c>
      <c r="G549" s="7" t="e">
        <f>VLOOKUP(A549,Sheet5!$A$2:$D$415,4,FALSE)</f>
        <v>#N/A</v>
      </c>
      <c r="H549" s="7" t="e">
        <f>VLOOKUP(A549,Sheet5!$A$2:$D$415,3,FALSE)</f>
        <v>#N/A</v>
      </c>
      <c r="I549" s="7" t="e">
        <f>VLOOKUP(A549,'1201-29周均耗用'!$A$1:$C$602,3,FALSE)</f>
        <v>#N/A</v>
      </c>
    </row>
    <row r="550" spans="1:9">
      <c r="A550" s="13" t="s">
        <v>1105</v>
      </c>
      <c r="B550" s="14" t="s">
        <v>1106</v>
      </c>
      <c r="C550" s="13">
        <v>0</v>
      </c>
      <c r="D550" s="7">
        <f>IFERROR(VLOOKUP(A550,'1227-29耗量'!$A$1:$C$602,3,FALSE),0)</f>
        <v>0</v>
      </c>
      <c r="E550" s="7">
        <f t="shared" si="16"/>
        <v>0</v>
      </c>
      <c r="F550" s="7" t="str">
        <f t="shared" si="17"/>
        <v>無資料</v>
      </c>
      <c r="G550" s="7" t="e">
        <f>VLOOKUP(A550,Sheet5!$A$2:$D$415,4,FALSE)</f>
        <v>#N/A</v>
      </c>
      <c r="H550" s="7" t="e">
        <f>VLOOKUP(A550,Sheet5!$A$2:$D$415,3,FALSE)</f>
        <v>#N/A</v>
      </c>
      <c r="I550" s="7" t="e">
        <f>VLOOKUP(A550,'1201-29周均耗用'!$A$1:$C$602,3,FALSE)</f>
        <v>#N/A</v>
      </c>
    </row>
    <row r="551" spans="1:9">
      <c r="A551" s="13" t="s">
        <v>1107</v>
      </c>
      <c r="B551" s="14" t="s">
        <v>1108</v>
      </c>
      <c r="C551" s="13">
        <v>19</v>
      </c>
      <c r="D551" s="7">
        <f>IFERROR(VLOOKUP(A551,'1227-29耗量'!$A$1:$C$602,3,FALSE),0)</f>
        <v>0</v>
      </c>
      <c r="E551" s="7">
        <f t="shared" si="16"/>
        <v>19</v>
      </c>
      <c r="F551" s="7" t="str">
        <f t="shared" si="17"/>
        <v>無資料</v>
      </c>
      <c r="G551" s="7" t="e">
        <f>VLOOKUP(A551,Sheet5!$A$2:$D$415,4,FALSE)</f>
        <v>#N/A</v>
      </c>
      <c r="H551" s="7" t="e">
        <f>VLOOKUP(A551,Sheet5!$A$2:$D$415,3,FALSE)</f>
        <v>#N/A</v>
      </c>
      <c r="I551" s="7">
        <f>VLOOKUP(A551,'1201-29周均耗用'!$A$1:$C$602,3,FALSE)</f>
        <v>7.8</v>
      </c>
    </row>
    <row r="552" spans="1:9">
      <c r="A552" s="13" t="s">
        <v>1109</v>
      </c>
      <c r="B552" s="14" t="s">
        <v>1110</v>
      </c>
      <c r="C552" s="13">
        <v>669</v>
      </c>
      <c r="D552" s="7">
        <f>IFERROR(VLOOKUP(A552,'1227-29耗量'!$A$1:$C$602,3,FALSE),0)</f>
        <v>2</v>
      </c>
      <c r="E552" s="7">
        <f t="shared" si="16"/>
        <v>667</v>
      </c>
      <c r="F552" s="7" t="str">
        <f t="shared" si="17"/>
        <v>無資料</v>
      </c>
      <c r="G552" s="7" t="e">
        <f>VLOOKUP(A552,Sheet5!$A$2:$D$415,4,FALSE)</f>
        <v>#N/A</v>
      </c>
      <c r="H552" s="7" t="e">
        <f>VLOOKUP(A552,Sheet5!$A$2:$D$415,3,FALSE)</f>
        <v>#N/A</v>
      </c>
      <c r="I552" s="7">
        <f>VLOOKUP(A552,'1201-29周均耗用'!$A$1:$C$602,3,FALSE)</f>
        <v>23.8</v>
      </c>
    </row>
    <row r="553" spans="1:9">
      <c r="A553" s="13" t="s">
        <v>1111</v>
      </c>
      <c r="B553" s="14" t="s">
        <v>1112</v>
      </c>
      <c r="C553" s="13">
        <v>2068</v>
      </c>
      <c r="D553" s="7">
        <f>VLOOKUP(A553,'1227-29耗量'!$A$1:$C$602,3,FALSE)</f>
        <v>54</v>
      </c>
      <c r="E553" s="7">
        <f t="shared" si="16"/>
        <v>2014</v>
      </c>
      <c r="F553" s="7" t="str">
        <f t="shared" si="17"/>
        <v>錯誤</v>
      </c>
      <c r="G553" s="7">
        <f>VLOOKUP(A553,Sheet5!$A$2:$D$415,4,FALSE)</f>
        <v>85</v>
      </c>
      <c r="H553" s="7">
        <f>VLOOKUP(A553,Sheet5!$A$2:$D$415,3,FALSE)</f>
        <v>1000</v>
      </c>
      <c r="I553" s="7">
        <f>VLOOKUP(A553,'1201-29周均耗用'!$A$1:$C$602,3,FALSE)</f>
        <v>215.2</v>
      </c>
    </row>
    <row r="554" spans="1:9">
      <c r="A554" s="13" t="s">
        <v>1113</v>
      </c>
      <c r="B554" s="14" t="s">
        <v>1114</v>
      </c>
      <c r="C554" s="13">
        <v>5</v>
      </c>
      <c r="D554" s="7">
        <f>IFERROR(VLOOKUP(A554,'1227-29耗量'!$A$1:$C$602,3,FALSE),0)</f>
        <v>0</v>
      </c>
      <c r="E554" s="7">
        <f t="shared" si="16"/>
        <v>5</v>
      </c>
      <c r="F554" s="7" t="str">
        <f t="shared" si="17"/>
        <v>無資料</v>
      </c>
      <c r="G554" s="7" t="e">
        <f>VLOOKUP(A554,Sheet5!$A$2:$D$415,4,FALSE)</f>
        <v>#N/A</v>
      </c>
      <c r="H554" s="7" t="e">
        <f>VLOOKUP(A554,Sheet5!$A$2:$D$415,3,FALSE)</f>
        <v>#N/A</v>
      </c>
      <c r="I554" s="7" t="e">
        <f>VLOOKUP(A554,'1201-29周均耗用'!$A$1:$C$602,3,FALSE)</f>
        <v>#N/A</v>
      </c>
    </row>
    <row r="555" spans="1:9">
      <c r="A555" s="13" t="s">
        <v>1115</v>
      </c>
      <c r="B555" s="14" t="s">
        <v>1116</v>
      </c>
      <c r="C555" s="13">
        <v>0</v>
      </c>
      <c r="D555" s="7">
        <f>IFERROR(VLOOKUP(A555,'1227-29耗量'!$A$1:$C$602,3,FALSE),0)</f>
        <v>0</v>
      </c>
      <c r="E555" s="7">
        <f t="shared" si="16"/>
        <v>0</v>
      </c>
      <c r="F555" s="7" t="str">
        <f t="shared" si="17"/>
        <v>無資料</v>
      </c>
      <c r="G555" s="7" t="e">
        <f>VLOOKUP(A555,Sheet5!$A$2:$D$415,4,FALSE)</f>
        <v>#N/A</v>
      </c>
      <c r="H555" s="7" t="e">
        <f>VLOOKUP(A555,Sheet5!$A$2:$D$415,3,FALSE)</f>
        <v>#N/A</v>
      </c>
      <c r="I555" s="7" t="e">
        <f>VLOOKUP(A555,'1201-29周均耗用'!$A$1:$C$602,3,FALSE)</f>
        <v>#N/A</v>
      </c>
    </row>
    <row r="556" spans="1:9">
      <c r="A556" s="13" t="s">
        <v>1117</v>
      </c>
      <c r="B556" s="14" t="s">
        <v>1118</v>
      </c>
      <c r="C556" s="13">
        <v>0</v>
      </c>
      <c r="D556" s="7">
        <f>IFERROR(VLOOKUP(A556,'1227-29耗量'!$A$1:$C$602,3,FALSE),0)</f>
        <v>0</v>
      </c>
      <c r="E556" s="7">
        <f t="shared" si="16"/>
        <v>0</v>
      </c>
      <c r="F556" s="7" t="str">
        <f t="shared" si="17"/>
        <v>無資料</v>
      </c>
      <c r="G556" s="7" t="e">
        <f>VLOOKUP(A556,Sheet5!$A$2:$D$415,4,FALSE)</f>
        <v>#N/A</v>
      </c>
      <c r="H556" s="7" t="e">
        <f>VLOOKUP(A556,Sheet5!$A$2:$D$415,3,FALSE)</f>
        <v>#N/A</v>
      </c>
      <c r="I556" s="7" t="e">
        <f>VLOOKUP(A556,'1201-29周均耗用'!$A$1:$C$602,3,FALSE)</f>
        <v>#N/A</v>
      </c>
    </row>
    <row r="557" spans="1:9">
      <c r="A557" s="13" t="s">
        <v>1119</v>
      </c>
      <c r="B557" s="14" t="s">
        <v>1120</v>
      </c>
      <c r="C557" s="13">
        <v>2</v>
      </c>
      <c r="D557" s="7">
        <f>IFERROR(VLOOKUP(A557,'1227-29耗量'!$A$1:$C$602,3,FALSE),0)</f>
        <v>0</v>
      </c>
      <c r="E557" s="7">
        <f t="shared" si="16"/>
        <v>2</v>
      </c>
      <c r="F557" s="7" t="str">
        <f t="shared" si="17"/>
        <v>無資料</v>
      </c>
      <c r="G557" s="7" t="e">
        <f>VLOOKUP(A557,Sheet5!$A$2:$D$415,4,FALSE)</f>
        <v>#N/A</v>
      </c>
      <c r="H557" s="7" t="e">
        <f>VLOOKUP(A557,Sheet5!$A$2:$D$415,3,FALSE)</f>
        <v>#N/A</v>
      </c>
      <c r="I557" s="7" t="e">
        <f>VLOOKUP(A557,'1201-29周均耗用'!$A$1:$C$602,3,FALSE)</f>
        <v>#N/A</v>
      </c>
    </row>
    <row r="558" spans="1:9">
      <c r="A558" s="13" t="s">
        <v>1121</v>
      </c>
      <c r="B558" s="14" t="s">
        <v>1122</v>
      </c>
      <c r="C558" s="13">
        <v>0</v>
      </c>
      <c r="D558" s="7">
        <f>IFERROR(VLOOKUP(A558,'1227-29耗量'!$A$1:$C$602,3,FALSE),0)</f>
        <v>0</v>
      </c>
      <c r="E558" s="7">
        <f t="shared" si="16"/>
        <v>0</v>
      </c>
      <c r="F558" s="7" t="str">
        <f t="shared" si="17"/>
        <v>無資料</v>
      </c>
      <c r="G558" s="7" t="e">
        <f>VLOOKUP(A558,Sheet5!$A$2:$D$415,4,FALSE)</f>
        <v>#N/A</v>
      </c>
      <c r="H558" s="7" t="e">
        <f>VLOOKUP(A558,Sheet5!$A$2:$D$415,3,FALSE)</f>
        <v>#N/A</v>
      </c>
      <c r="I558" s="7" t="e">
        <f>VLOOKUP(A558,'1201-29周均耗用'!$A$1:$C$602,3,FALSE)</f>
        <v>#N/A</v>
      </c>
    </row>
    <row r="559" spans="1:9">
      <c r="A559" s="13" t="s">
        <v>1123</v>
      </c>
      <c r="B559" s="14" t="s">
        <v>1124</v>
      </c>
      <c r="C559" s="13">
        <v>0</v>
      </c>
      <c r="D559" s="7">
        <f>IFERROR(VLOOKUP(A559,'1227-29耗量'!$A$1:$C$602,3,FALSE),0)</f>
        <v>0</v>
      </c>
      <c r="E559" s="7">
        <f t="shared" si="16"/>
        <v>0</v>
      </c>
      <c r="F559" s="7" t="str">
        <f t="shared" si="17"/>
        <v>無資料</v>
      </c>
      <c r="G559" s="7" t="e">
        <f>VLOOKUP(A559,Sheet5!$A$2:$D$415,4,FALSE)</f>
        <v>#N/A</v>
      </c>
      <c r="H559" s="7" t="e">
        <f>VLOOKUP(A559,Sheet5!$A$2:$D$415,3,FALSE)</f>
        <v>#N/A</v>
      </c>
      <c r="I559" s="7" t="e">
        <f>VLOOKUP(A559,'1201-29周均耗用'!$A$1:$C$602,3,FALSE)</f>
        <v>#N/A</v>
      </c>
    </row>
    <row r="560" spans="1:9">
      <c r="A560" s="13" t="s">
        <v>1125</v>
      </c>
      <c r="B560" s="14" t="s">
        <v>1126</v>
      </c>
      <c r="C560" s="13">
        <v>11</v>
      </c>
      <c r="D560" s="7">
        <f>IFERROR(VLOOKUP(A560,'1227-29耗量'!$A$1:$C$602,3,FALSE),0)</f>
        <v>0</v>
      </c>
      <c r="E560" s="7">
        <f t="shared" si="16"/>
        <v>11</v>
      </c>
      <c r="F560" s="7" t="str">
        <f t="shared" si="17"/>
        <v>無資料</v>
      </c>
      <c r="G560" s="7" t="e">
        <f>VLOOKUP(A560,Sheet5!$A$2:$D$415,4,FALSE)</f>
        <v>#N/A</v>
      </c>
      <c r="H560" s="7" t="e">
        <f>VLOOKUP(A560,Sheet5!$A$2:$D$415,3,FALSE)</f>
        <v>#N/A</v>
      </c>
      <c r="I560" s="7">
        <f>VLOOKUP(A560,'1201-29周均耗用'!$A$1:$C$602,3,FALSE)</f>
        <v>2</v>
      </c>
    </row>
    <row r="561" spans="1:9">
      <c r="A561" s="13" t="s">
        <v>1127</v>
      </c>
      <c r="B561" s="14" t="s">
        <v>1128</v>
      </c>
      <c r="C561" s="13">
        <v>912</v>
      </c>
      <c r="D561" s="7">
        <f>IFERROR(VLOOKUP(A561,'1227-29耗量'!$A$1:$C$602,3,FALSE),0)</f>
        <v>34</v>
      </c>
      <c r="E561" s="7">
        <f t="shared" si="16"/>
        <v>878</v>
      </c>
      <c r="F561" s="7" t="str">
        <f t="shared" si="17"/>
        <v>無資料</v>
      </c>
      <c r="G561" s="7" t="e">
        <f>VLOOKUP(A561,Sheet5!$A$2:$D$415,4,FALSE)</f>
        <v>#N/A</v>
      </c>
      <c r="H561" s="7" t="e">
        <f>VLOOKUP(A561,Sheet5!$A$2:$D$415,3,FALSE)</f>
        <v>#N/A</v>
      </c>
      <c r="I561" s="7">
        <f>VLOOKUP(A561,'1201-29周均耗用'!$A$1:$C$602,3,FALSE)</f>
        <v>238</v>
      </c>
    </row>
    <row r="562" spans="1:9">
      <c r="A562" s="13" t="s">
        <v>1129</v>
      </c>
      <c r="B562" s="14" t="s">
        <v>1130</v>
      </c>
      <c r="C562" s="13">
        <v>0</v>
      </c>
      <c r="D562" s="7">
        <f>IFERROR(VLOOKUP(A562,'1227-29耗量'!$A$1:$C$602,3,FALSE),0)</f>
        <v>0</v>
      </c>
      <c r="E562" s="7">
        <f t="shared" si="16"/>
        <v>0</v>
      </c>
      <c r="F562" s="7" t="str">
        <f t="shared" si="17"/>
        <v>無資料</v>
      </c>
      <c r="G562" s="7" t="e">
        <f>VLOOKUP(A562,Sheet5!$A$2:$D$415,4,FALSE)</f>
        <v>#N/A</v>
      </c>
      <c r="H562" s="7" t="e">
        <f>VLOOKUP(A562,Sheet5!$A$2:$D$415,3,FALSE)</f>
        <v>#N/A</v>
      </c>
      <c r="I562" s="7" t="e">
        <f>VLOOKUP(A562,'1201-29周均耗用'!$A$1:$C$602,3,FALSE)</f>
        <v>#N/A</v>
      </c>
    </row>
    <row r="563" spans="1:9">
      <c r="A563" s="13" t="s">
        <v>1131</v>
      </c>
      <c r="B563" s="14" t="s">
        <v>1132</v>
      </c>
      <c r="C563" s="13">
        <v>540</v>
      </c>
      <c r="D563" s="7">
        <f>IFERROR(VLOOKUP(A563,'1227-29耗量'!$A$1:$C$602,3,FALSE),0)</f>
        <v>11</v>
      </c>
      <c r="E563" s="7">
        <f t="shared" si="16"/>
        <v>529</v>
      </c>
      <c r="F563" s="7" t="str">
        <f t="shared" si="17"/>
        <v>無資料</v>
      </c>
      <c r="G563" s="7" t="e">
        <f>VLOOKUP(A563,Sheet5!$A$2:$D$415,4,FALSE)</f>
        <v>#N/A</v>
      </c>
      <c r="H563" s="7" t="e">
        <f>VLOOKUP(A563,Sheet5!$A$2:$D$415,3,FALSE)</f>
        <v>#N/A</v>
      </c>
      <c r="I563" s="7">
        <f>VLOOKUP(A563,'1201-29周均耗用'!$A$1:$C$602,3,FALSE)</f>
        <v>26.2</v>
      </c>
    </row>
    <row r="564" spans="1:9">
      <c r="A564" s="13" t="s">
        <v>1133</v>
      </c>
      <c r="B564" s="14" t="s">
        <v>1134</v>
      </c>
      <c r="C564" s="13">
        <v>458</v>
      </c>
      <c r="D564" s="7">
        <f>IFERROR(VLOOKUP(A564,'1227-29耗量'!$A$1:$C$602,3,FALSE),0)</f>
        <v>32</v>
      </c>
      <c r="E564" s="7">
        <f t="shared" si="16"/>
        <v>426</v>
      </c>
      <c r="F564" s="7" t="str">
        <f t="shared" si="17"/>
        <v>無資料</v>
      </c>
      <c r="G564" s="7" t="e">
        <f>VLOOKUP(A564,Sheet5!$A$2:$D$415,4,FALSE)</f>
        <v>#N/A</v>
      </c>
      <c r="H564" s="7" t="e">
        <f>VLOOKUP(A564,Sheet5!$A$2:$D$415,3,FALSE)</f>
        <v>#N/A</v>
      </c>
      <c r="I564" s="7">
        <f>VLOOKUP(A564,'1201-29周均耗用'!$A$1:$C$602,3,FALSE)</f>
        <v>101.5</v>
      </c>
    </row>
    <row r="565" spans="1:9">
      <c r="A565" s="13" t="s">
        <v>1135</v>
      </c>
      <c r="B565" s="14" t="s">
        <v>1136</v>
      </c>
      <c r="C565" s="13">
        <v>0</v>
      </c>
      <c r="D565" s="7">
        <f>IFERROR(VLOOKUP(A565,'1227-29耗量'!$A$1:$C$602,3,FALSE),0)</f>
        <v>0</v>
      </c>
      <c r="E565" s="7">
        <f t="shared" si="16"/>
        <v>0</v>
      </c>
      <c r="F565" s="7" t="str">
        <f t="shared" si="17"/>
        <v>無資料</v>
      </c>
      <c r="G565" s="7" t="e">
        <f>VLOOKUP(A565,Sheet5!$A$2:$D$415,4,FALSE)</f>
        <v>#N/A</v>
      </c>
      <c r="H565" s="7" t="e">
        <f>VLOOKUP(A565,Sheet5!$A$2:$D$415,3,FALSE)</f>
        <v>#N/A</v>
      </c>
      <c r="I565" s="7" t="e">
        <f>VLOOKUP(A565,'1201-29周均耗用'!$A$1:$C$602,3,FALSE)</f>
        <v>#N/A</v>
      </c>
    </row>
    <row r="566" spans="1:9">
      <c r="A566" s="13" t="s">
        <v>1137</v>
      </c>
      <c r="B566" s="14" t="s">
        <v>1138</v>
      </c>
      <c r="C566" s="13">
        <v>0</v>
      </c>
      <c r="D566" s="7">
        <f>IFERROR(VLOOKUP(A566,'1227-29耗量'!$A$1:$C$602,3,FALSE),0)</f>
        <v>0</v>
      </c>
      <c r="E566" s="7">
        <f t="shared" si="16"/>
        <v>0</v>
      </c>
      <c r="F566" s="7" t="str">
        <f t="shared" si="17"/>
        <v>無資料</v>
      </c>
      <c r="G566" s="7" t="e">
        <f>VLOOKUP(A566,Sheet5!$A$2:$D$415,4,FALSE)</f>
        <v>#N/A</v>
      </c>
      <c r="H566" s="7" t="e">
        <f>VLOOKUP(A566,Sheet5!$A$2:$D$415,3,FALSE)</f>
        <v>#N/A</v>
      </c>
      <c r="I566" s="7" t="e">
        <f>VLOOKUP(A566,'1201-29周均耗用'!$A$1:$C$602,3,FALSE)</f>
        <v>#N/A</v>
      </c>
    </row>
    <row r="567" spans="1:9">
      <c r="A567" s="13" t="s">
        <v>1139</v>
      </c>
      <c r="B567" s="14" t="s">
        <v>1140</v>
      </c>
      <c r="C567" s="13">
        <v>0</v>
      </c>
      <c r="D567" s="7">
        <f>IFERROR(VLOOKUP(A567,'1227-29耗量'!$A$1:$C$602,3,FALSE),0)</f>
        <v>0</v>
      </c>
      <c r="E567" s="7">
        <f t="shared" si="16"/>
        <v>0</v>
      </c>
      <c r="F567" s="7" t="str">
        <f t="shared" si="17"/>
        <v>無資料</v>
      </c>
      <c r="G567" s="7" t="e">
        <f>VLOOKUP(A567,Sheet5!$A$2:$D$415,4,FALSE)</f>
        <v>#N/A</v>
      </c>
      <c r="H567" s="7" t="e">
        <f>VLOOKUP(A567,Sheet5!$A$2:$D$415,3,FALSE)</f>
        <v>#N/A</v>
      </c>
      <c r="I567" s="7" t="e">
        <f>VLOOKUP(A567,'1201-29周均耗用'!$A$1:$C$602,3,FALSE)</f>
        <v>#N/A</v>
      </c>
    </row>
    <row r="568" spans="1:9">
      <c r="A568" s="13" t="s">
        <v>1141</v>
      </c>
      <c r="B568" s="14" t="s">
        <v>1142</v>
      </c>
      <c r="C568" s="13">
        <v>123</v>
      </c>
      <c r="D568" s="7">
        <f>VLOOKUP(A568,'1227-29耗量'!$A$1:$C$602,3,FALSE)</f>
        <v>2</v>
      </c>
      <c r="E568" s="7">
        <f t="shared" si="16"/>
        <v>121</v>
      </c>
      <c r="F568" s="7" t="str">
        <f t="shared" si="17"/>
        <v>錯誤</v>
      </c>
      <c r="G568" s="7">
        <f>VLOOKUP(A568,Sheet5!$A$2:$D$415,4,FALSE)</f>
        <v>8</v>
      </c>
      <c r="H568" s="7">
        <f>VLOOKUP(A568,Sheet5!$A$2:$D$415,3,FALSE)</f>
        <v>112</v>
      </c>
      <c r="I568" s="7">
        <f>VLOOKUP(A568,'1201-29周均耗用'!$A$1:$C$602,3,FALSE)</f>
        <v>28.5</v>
      </c>
    </row>
    <row r="569" spans="1:9">
      <c r="A569" s="13" t="s">
        <v>1143</v>
      </c>
      <c r="B569" s="14" t="s">
        <v>1144</v>
      </c>
      <c r="C569" s="13">
        <v>15</v>
      </c>
      <c r="D569" s="7">
        <f>IFERROR(VLOOKUP(A569,'1227-29耗量'!$A$1:$C$602,3,FALSE),0)</f>
        <v>0</v>
      </c>
      <c r="E569" s="7">
        <f t="shared" si="16"/>
        <v>15</v>
      </c>
      <c r="F569" s="7" t="str">
        <f t="shared" si="17"/>
        <v>錯誤</v>
      </c>
      <c r="G569" s="7">
        <f>VLOOKUP(A569,Sheet5!$A$2:$D$415,4,FALSE)</f>
        <v>4</v>
      </c>
      <c r="H569" s="7">
        <f>VLOOKUP(A569,Sheet5!$A$2:$D$415,3,FALSE)</f>
        <v>10</v>
      </c>
      <c r="I569" s="7" t="e">
        <f>VLOOKUP(A569,'1201-29周均耗用'!$A$1:$C$602,3,FALSE)</f>
        <v>#N/A</v>
      </c>
    </row>
    <row r="570" spans="1:9">
      <c r="A570" s="13" t="s">
        <v>1145</v>
      </c>
      <c r="B570" s="14" t="s">
        <v>1146</v>
      </c>
      <c r="C570" s="13">
        <v>127</v>
      </c>
      <c r="D570" s="7">
        <f>VLOOKUP(A570,'1227-29耗量'!$A$1:$C$602,3,FALSE)</f>
        <v>7</v>
      </c>
      <c r="E570" s="7">
        <f t="shared" si="16"/>
        <v>120</v>
      </c>
      <c r="F570" s="7" t="str">
        <f t="shared" si="17"/>
        <v>錯誤</v>
      </c>
      <c r="G570" s="7">
        <f>VLOOKUP(A570,Sheet5!$A$2:$D$415,4,FALSE)</f>
        <v>67</v>
      </c>
      <c r="H570" s="7">
        <f>VLOOKUP(A570,Sheet5!$A$2:$D$415,3,FALSE)</f>
        <v>120</v>
      </c>
      <c r="I570" s="7">
        <f>VLOOKUP(A570,'1201-29周均耗用'!$A$1:$C$602,3,FALSE)</f>
        <v>38</v>
      </c>
    </row>
    <row r="571" spans="1:9">
      <c r="A571" s="13" t="s">
        <v>1147</v>
      </c>
      <c r="B571" s="14" t="s">
        <v>1148</v>
      </c>
      <c r="C571" s="13">
        <v>169</v>
      </c>
      <c r="D571" s="7">
        <f>VLOOKUP(A571,'1227-29耗量'!$A$1:$C$602,3,FALSE)</f>
        <v>9</v>
      </c>
      <c r="E571" s="7">
        <f t="shared" si="16"/>
        <v>160</v>
      </c>
      <c r="F571" s="7" t="str">
        <f t="shared" si="17"/>
        <v>錯誤</v>
      </c>
      <c r="G571" s="7">
        <f>VLOOKUP(A571,Sheet5!$A$2:$D$415,4,FALSE)</f>
        <v>184</v>
      </c>
      <c r="H571" s="7">
        <f>VLOOKUP(A571,Sheet5!$A$2:$D$415,3,FALSE)</f>
        <v>300</v>
      </c>
      <c r="I571" s="7">
        <f>VLOOKUP(A571,'1201-29周均耗用'!$A$1:$C$602,3,FALSE)</f>
        <v>82</v>
      </c>
    </row>
    <row r="572" spans="1:9">
      <c r="A572" s="13" t="s">
        <v>1149</v>
      </c>
      <c r="B572" s="14" t="s">
        <v>1150</v>
      </c>
      <c r="C572" s="13">
        <v>9</v>
      </c>
      <c r="D572" s="7">
        <f>VLOOKUP(A572,'1227-29耗量'!$A$1:$C$602,3,FALSE)</f>
        <v>2</v>
      </c>
      <c r="E572" s="7">
        <f t="shared" si="16"/>
        <v>7</v>
      </c>
      <c r="F572" s="7" t="str">
        <f t="shared" si="17"/>
        <v>錯誤</v>
      </c>
      <c r="G572" s="7">
        <f>VLOOKUP(A572,Sheet5!$A$2:$D$415,4,FALSE)</f>
        <v>3</v>
      </c>
      <c r="H572" s="7">
        <f>VLOOKUP(A572,Sheet5!$A$2:$D$415,3,FALSE)</f>
        <v>2</v>
      </c>
      <c r="I572" s="7">
        <f>VLOOKUP(A572,'1201-29周均耗用'!$A$1:$C$602,3,FALSE)</f>
        <v>0.8</v>
      </c>
    </row>
    <row r="573" spans="1:9">
      <c r="A573" s="13" t="s">
        <v>1151</v>
      </c>
      <c r="B573" s="14" t="s">
        <v>1152</v>
      </c>
      <c r="C573" s="13">
        <v>76</v>
      </c>
      <c r="D573" s="7">
        <f>IFERROR(VLOOKUP(A573,'1227-29耗量'!$A$1:$C$602,3,FALSE),0)</f>
        <v>11</v>
      </c>
      <c r="E573" s="7">
        <f t="shared" si="16"/>
        <v>65</v>
      </c>
      <c r="F573" s="7" t="str">
        <f t="shared" si="17"/>
        <v>無資料</v>
      </c>
      <c r="G573" s="7" t="e">
        <f>VLOOKUP(A573,Sheet5!$A$2:$D$415,4,FALSE)</f>
        <v>#N/A</v>
      </c>
      <c r="H573" s="7" t="e">
        <f>VLOOKUP(A573,Sheet5!$A$2:$D$415,3,FALSE)</f>
        <v>#N/A</v>
      </c>
      <c r="I573" s="7">
        <f>VLOOKUP(A573,'1201-29周均耗用'!$A$1:$C$602,3,FALSE)</f>
        <v>41</v>
      </c>
    </row>
    <row r="574" spans="1:9">
      <c r="A574" s="13" t="s">
        <v>1153</v>
      </c>
      <c r="B574" s="14" t="s">
        <v>1154</v>
      </c>
      <c r="C574" s="13">
        <v>8</v>
      </c>
      <c r="D574" s="7">
        <f>VLOOKUP(A574,'1227-29耗量'!$A$1:$C$602,3,FALSE)</f>
        <v>1</v>
      </c>
      <c r="E574" s="7">
        <f t="shared" si="16"/>
        <v>7</v>
      </c>
      <c r="F574" s="7" t="str">
        <f t="shared" si="17"/>
        <v>錯誤</v>
      </c>
      <c r="G574" s="7">
        <f>VLOOKUP(A574,Sheet5!$A$2:$D$415,4,FALSE)</f>
        <v>4</v>
      </c>
      <c r="H574" s="7">
        <f>VLOOKUP(A574,Sheet5!$A$2:$D$415,3,FALSE)</f>
        <v>6</v>
      </c>
      <c r="I574" s="7">
        <f>VLOOKUP(A574,'1201-29周均耗用'!$A$1:$C$602,3,FALSE)</f>
        <v>2</v>
      </c>
    </row>
    <row r="575" spans="1:9">
      <c r="A575" s="13" t="s">
        <v>1155</v>
      </c>
      <c r="B575" s="14" t="s">
        <v>1156</v>
      </c>
      <c r="C575" s="13">
        <v>0</v>
      </c>
      <c r="D575" s="7">
        <f>IFERROR(VLOOKUP(A575,'1227-29耗量'!$A$1:$C$602,3,FALSE),0)</f>
        <v>0</v>
      </c>
      <c r="E575" s="7">
        <f t="shared" si="16"/>
        <v>0</v>
      </c>
      <c r="F575" s="7" t="str">
        <f t="shared" si="17"/>
        <v>無資料</v>
      </c>
      <c r="G575" s="7" t="e">
        <f>VLOOKUP(A575,Sheet5!$A$2:$D$415,4,FALSE)</f>
        <v>#N/A</v>
      </c>
      <c r="H575" s="7" t="e">
        <f>VLOOKUP(A575,Sheet5!$A$2:$D$415,3,FALSE)</f>
        <v>#N/A</v>
      </c>
      <c r="I575" s="7">
        <f>VLOOKUP(A575,'1201-29周均耗用'!$A$1:$C$602,3,FALSE)</f>
        <v>0.2</v>
      </c>
    </row>
    <row r="576" spans="1:9">
      <c r="A576" s="13" t="s">
        <v>1157</v>
      </c>
      <c r="B576" s="14" t="s">
        <v>1158</v>
      </c>
      <c r="C576" s="13">
        <v>0</v>
      </c>
      <c r="D576" s="7">
        <f>IFERROR(VLOOKUP(A576,'1227-29耗量'!$A$1:$C$602,3,FALSE),0)</f>
        <v>0</v>
      </c>
      <c r="E576" s="7">
        <f t="shared" si="16"/>
        <v>0</v>
      </c>
      <c r="F576" s="7" t="str">
        <f t="shared" si="17"/>
        <v>無資料</v>
      </c>
      <c r="G576" s="7" t="e">
        <f>VLOOKUP(A576,Sheet5!$A$2:$D$415,4,FALSE)</f>
        <v>#N/A</v>
      </c>
      <c r="H576" s="7" t="e">
        <f>VLOOKUP(A576,Sheet5!$A$2:$D$415,3,FALSE)</f>
        <v>#N/A</v>
      </c>
      <c r="I576" s="7">
        <f>VLOOKUP(A576,'1201-29周均耗用'!$A$1:$C$602,3,FALSE)</f>
        <v>0.5</v>
      </c>
    </row>
    <row r="577" spans="1:9">
      <c r="A577" s="13" t="s">
        <v>1159</v>
      </c>
      <c r="B577" s="14" t="s">
        <v>1160</v>
      </c>
      <c r="C577" s="13">
        <v>0</v>
      </c>
      <c r="D577" s="7">
        <f>IFERROR(VLOOKUP(A577,'1227-29耗量'!$A$1:$C$602,3,FALSE),0)</f>
        <v>0</v>
      </c>
      <c r="E577" s="7">
        <f t="shared" si="16"/>
        <v>0</v>
      </c>
      <c r="F577" s="7" t="str">
        <f t="shared" si="17"/>
        <v>無資料</v>
      </c>
      <c r="G577" s="7" t="e">
        <f>VLOOKUP(A577,Sheet5!$A$2:$D$415,4,FALSE)</f>
        <v>#N/A</v>
      </c>
      <c r="H577" s="7" t="e">
        <f>VLOOKUP(A577,Sheet5!$A$2:$D$415,3,FALSE)</f>
        <v>#N/A</v>
      </c>
      <c r="I577" s="7">
        <f>VLOOKUP(A577,'1201-29周均耗用'!$A$1:$C$602,3,FALSE)</f>
        <v>0.2</v>
      </c>
    </row>
    <row r="578" spans="1:9">
      <c r="A578" s="13" t="s">
        <v>1161</v>
      </c>
      <c r="B578" s="14" t="s">
        <v>1162</v>
      </c>
      <c r="C578" s="13">
        <v>7</v>
      </c>
      <c r="D578" s="7">
        <f>VLOOKUP(A578,'1227-29耗量'!$A$1:$C$602,3,FALSE)</f>
        <v>2</v>
      </c>
      <c r="E578" s="7">
        <f t="shared" si="16"/>
        <v>5</v>
      </c>
      <c r="F578" s="7" t="str">
        <f t="shared" si="17"/>
        <v>錯誤</v>
      </c>
      <c r="G578" s="7">
        <f>VLOOKUP(A578,Sheet5!$A$2:$D$415,4,FALSE)</f>
        <v>2</v>
      </c>
      <c r="H578" s="7">
        <f>VLOOKUP(A578,Sheet5!$A$2:$D$415,3,FALSE)</f>
        <v>10</v>
      </c>
      <c r="I578" s="7">
        <f>VLOOKUP(A578,'1201-29周均耗用'!$A$1:$C$602,3,FALSE)</f>
        <v>3</v>
      </c>
    </row>
    <row r="579" spans="1:9">
      <c r="A579" s="13" t="s">
        <v>1163</v>
      </c>
      <c r="B579" s="14" t="s">
        <v>1164</v>
      </c>
      <c r="C579" s="13">
        <v>319</v>
      </c>
      <c r="D579" s="7">
        <f>VLOOKUP(A579,'1227-29耗量'!$A$1:$C$602,3,FALSE)</f>
        <v>16</v>
      </c>
      <c r="E579" s="7">
        <f t="shared" ref="E579:E642" si="18">C579-D579</f>
        <v>303</v>
      </c>
      <c r="F579" s="7" t="str">
        <f t="shared" ref="F579:F642" si="19">IFERROR(IF(E579=G579,"OK","錯誤"),"無資料")</f>
        <v>錯誤</v>
      </c>
      <c r="G579" s="7">
        <f>VLOOKUP(A579,Sheet5!$A$2:$D$415,4,FALSE)</f>
        <v>263</v>
      </c>
      <c r="H579" s="7">
        <f>VLOOKUP(A579,Sheet5!$A$2:$D$415,3,FALSE)</f>
        <v>600</v>
      </c>
      <c r="I579" s="7" t="e">
        <f>VLOOKUP(A579,'1201-29周均耗用'!$A$1:$C$602,3,FALSE)</f>
        <v>#N/A</v>
      </c>
    </row>
    <row r="580" spans="1:9">
      <c r="A580" s="13" t="s">
        <v>1165</v>
      </c>
      <c r="B580" s="14" t="s">
        <v>1166</v>
      </c>
      <c r="C580" s="13">
        <v>32</v>
      </c>
      <c r="D580" s="7">
        <f>IFERROR(VLOOKUP(A580,'1227-29耗量'!$A$1:$C$602,3,FALSE),0)</f>
        <v>0</v>
      </c>
      <c r="E580" s="7">
        <f t="shared" si="18"/>
        <v>32</v>
      </c>
      <c r="F580" s="7" t="str">
        <f t="shared" si="19"/>
        <v>無資料</v>
      </c>
      <c r="G580" s="7" t="e">
        <f>VLOOKUP(A580,Sheet5!$A$2:$D$415,4,FALSE)</f>
        <v>#N/A</v>
      </c>
      <c r="H580" s="7" t="e">
        <f>VLOOKUP(A580,Sheet5!$A$2:$D$415,3,FALSE)</f>
        <v>#N/A</v>
      </c>
      <c r="I580" s="7" t="e">
        <f>VLOOKUP(A580,'1201-29周均耗用'!$A$1:$C$602,3,FALSE)</f>
        <v>#N/A</v>
      </c>
    </row>
    <row r="581" spans="1:9">
      <c r="A581" s="13" t="s">
        <v>1167</v>
      </c>
      <c r="B581" s="14" t="s">
        <v>1168</v>
      </c>
      <c r="C581" s="13">
        <v>124</v>
      </c>
      <c r="D581" s="7">
        <f>IFERROR(VLOOKUP(A581,'1227-29耗量'!$A$1:$C$602,3,FALSE),0)</f>
        <v>3</v>
      </c>
      <c r="E581" s="7">
        <f t="shared" si="18"/>
        <v>121</v>
      </c>
      <c r="F581" s="7" t="str">
        <f t="shared" si="19"/>
        <v>無資料</v>
      </c>
      <c r="G581" s="7" t="e">
        <f>VLOOKUP(A581,Sheet5!$A$2:$D$415,4,FALSE)</f>
        <v>#N/A</v>
      </c>
      <c r="H581" s="7" t="e">
        <f>VLOOKUP(A581,Sheet5!$A$2:$D$415,3,FALSE)</f>
        <v>#N/A</v>
      </c>
      <c r="I581" s="7">
        <f>VLOOKUP(A581,'1201-29周均耗用'!$A$1:$C$602,3,FALSE)</f>
        <v>25.5</v>
      </c>
    </row>
    <row r="582" spans="1:9">
      <c r="A582" s="13" t="s">
        <v>1169</v>
      </c>
      <c r="B582" s="14" t="s">
        <v>1170</v>
      </c>
      <c r="C582" s="13">
        <v>63</v>
      </c>
      <c r="D582" s="7">
        <f>IFERROR(VLOOKUP(A582,'1227-29耗量'!$A$1:$C$602,3,FALSE),0)</f>
        <v>0</v>
      </c>
      <c r="E582" s="7">
        <f t="shared" si="18"/>
        <v>63</v>
      </c>
      <c r="F582" s="7" t="str">
        <f t="shared" si="19"/>
        <v>無資料</v>
      </c>
      <c r="G582" s="7" t="e">
        <f>VLOOKUP(A582,Sheet5!$A$2:$D$415,4,FALSE)</f>
        <v>#N/A</v>
      </c>
      <c r="H582" s="7" t="e">
        <f>VLOOKUP(A582,Sheet5!$A$2:$D$415,3,FALSE)</f>
        <v>#N/A</v>
      </c>
      <c r="I582" s="7">
        <f>VLOOKUP(A582,'1201-29周均耗用'!$A$1:$C$602,3,FALSE)</f>
        <v>46.8</v>
      </c>
    </row>
    <row r="583" spans="1:9">
      <c r="A583" s="13" t="s">
        <v>1171</v>
      </c>
      <c r="B583" s="14" t="s">
        <v>1172</v>
      </c>
      <c r="C583" s="13">
        <v>48</v>
      </c>
      <c r="D583" s="7">
        <f>IFERROR(VLOOKUP(A583,'1227-29耗量'!$A$1:$C$602,3,FALSE),0)</f>
        <v>5</v>
      </c>
      <c r="E583" s="7">
        <f t="shared" si="18"/>
        <v>43</v>
      </c>
      <c r="F583" s="7" t="str">
        <f t="shared" si="19"/>
        <v>無資料</v>
      </c>
      <c r="G583" s="7" t="e">
        <f>VLOOKUP(A583,Sheet5!$A$2:$D$415,4,FALSE)</f>
        <v>#N/A</v>
      </c>
      <c r="H583" s="7" t="e">
        <f>VLOOKUP(A583,Sheet5!$A$2:$D$415,3,FALSE)</f>
        <v>#N/A</v>
      </c>
      <c r="I583" s="7">
        <f>VLOOKUP(A583,'1201-29周均耗用'!$A$1:$C$602,3,FALSE)</f>
        <v>11.8</v>
      </c>
    </row>
    <row r="584" spans="1:9">
      <c r="A584" s="13" t="s">
        <v>1173</v>
      </c>
      <c r="B584" s="14" t="s">
        <v>1174</v>
      </c>
      <c r="C584" s="13">
        <v>1357</v>
      </c>
      <c r="D584" s="7">
        <f>VLOOKUP(A584,'1227-29耗量'!$A$1:$C$602,3,FALSE)</f>
        <v>104</v>
      </c>
      <c r="E584" s="7">
        <f t="shared" si="18"/>
        <v>1253</v>
      </c>
      <c r="F584" s="7" t="str">
        <f t="shared" si="19"/>
        <v>錯誤</v>
      </c>
      <c r="G584" s="7">
        <f>VLOOKUP(A584,Sheet5!$A$2:$D$415,4,FALSE)</f>
        <v>805</v>
      </c>
      <c r="H584" s="7">
        <f>VLOOKUP(A584,Sheet5!$A$2:$D$415,3,FALSE)</f>
        <v>1200</v>
      </c>
      <c r="I584" s="7">
        <f>VLOOKUP(A584,'1201-29周均耗用'!$A$1:$C$602,3,FALSE)</f>
        <v>404.2</v>
      </c>
    </row>
    <row r="585" spans="1:9">
      <c r="A585" s="13" t="s">
        <v>1175</v>
      </c>
      <c r="B585" s="14" t="s">
        <v>1176</v>
      </c>
      <c r="C585" s="13">
        <v>301</v>
      </c>
      <c r="D585" s="7">
        <f>IFERROR(VLOOKUP(A585,'1227-29耗量'!$A$1:$C$602,3,FALSE),0)</f>
        <v>1</v>
      </c>
      <c r="E585" s="7">
        <f t="shared" si="18"/>
        <v>300</v>
      </c>
      <c r="F585" s="7" t="str">
        <f t="shared" si="19"/>
        <v>無資料</v>
      </c>
      <c r="G585" s="7" t="e">
        <f>VLOOKUP(A585,Sheet5!$A$2:$D$415,4,FALSE)</f>
        <v>#N/A</v>
      </c>
      <c r="H585" s="7" t="e">
        <f>VLOOKUP(A585,Sheet5!$A$2:$D$415,3,FALSE)</f>
        <v>#N/A</v>
      </c>
      <c r="I585" s="7">
        <f>VLOOKUP(A585,'1201-29周均耗用'!$A$1:$C$602,3,FALSE)</f>
        <v>12.2</v>
      </c>
    </row>
    <row r="586" spans="1:9">
      <c r="A586" s="13" t="s">
        <v>1177</v>
      </c>
      <c r="B586" s="14" t="s">
        <v>1178</v>
      </c>
      <c r="C586" s="13">
        <v>60</v>
      </c>
      <c r="D586" s="7">
        <f>IFERROR(VLOOKUP(A586,'1227-29耗量'!$A$1:$C$602,3,FALSE),0)</f>
        <v>0</v>
      </c>
      <c r="E586" s="7">
        <f t="shared" si="18"/>
        <v>60</v>
      </c>
      <c r="F586" s="7" t="str">
        <f t="shared" si="19"/>
        <v>錯誤</v>
      </c>
      <c r="G586" s="7">
        <f>VLOOKUP(A586,Sheet5!$A$2:$D$415,4,FALSE)</f>
        <v>48</v>
      </c>
      <c r="H586" s="7">
        <f>VLOOKUP(A586,Sheet5!$A$2:$D$415,3,FALSE)</f>
        <v>30</v>
      </c>
      <c r="I586" s="7">
        <f>VLOOKUP(A586,'1201-29周均耗用'!$A$1:$C$602,3,FALSE)</f>
        <v>9.8</v>
      </c>
    </row>
    <row r="587" spans="1:9">
      <c r="A587" s="13" t="s">
        <v>1179</v>
      </c>
      <c r="B587" s="14" t="s">
        <v>1180</v>
      </c>
      <c r="C587" s="13">
        <v>0</v>
      </c>
      <c r="D587" s="7">
        <f>IFERROR(VLOOKUP(A587,'1227-29耗量'!$A$1:$C$602,3,FALSE),0)</f>
        <v>0</v>
      </c>
      <c r="E587" s="7">
        <f t="shared" si="18"/>
        <v>0</v>
      </c>
      <c r="F587" s="7" t="str">
        <f t="shared" si="19"/>
        <v>無資料</v>
      </c>
      <c r="G587" s="7" t="e">
        <f>VLOOKUP(A587,Sheet5!$A$2:$D$415,4,FALSE)</f>
        <v>#N/A</v>
      </c>
      <c r="H587" s="7" t="e">
        <f>VLOOKUP(A587,Sheet5!$A$2:$D$415,3,FALSE)</f>
        <v>#N/A</v>
      </c>
      <c r="I587" s="7">
        <f>VLOOKUP(A587,'1201-29周均耗用'!$A$1:$C$602,3,FALSE)</f>
        <v>4.8</v>
      </c>
    </row>
    <row r="588" spans="1:9">
      <c r="A588" s="13" t="s">
        <v>1181</v>
      </c>
      <c r="B588" s="14" t="s">
        <v>1182</v>
      </c>
      <c r="C588" s="13">
        <v>0</v>
      </c>
      <c r="D588" s="7">
        <f>IFERROR(VLOOKUP(A588,'1227-29耗量'!$A$1:$C$602,3,FALSE),0)</f>
        <v>0</v>
      </c>
      <c r="E588" s="7">
        <f t="shared" si="18"/>
        <v>0</v>
      </c>
      <c r="F588" s="7" t="str">
        <f t="shared" si="19"/>
        <v>無資料</v>
      </c>
      <c r="G588" s="7" t="e">
        <f>VLOOKUP(A588,Sheet5!$A$2:$D$415,4,FALSE)</f>
        <v>#N/A</v>
      </c>
      <c r="H588" s="7" t="e">
        <f>VLOOKUP(A588,Sheet5!$A$2:$D$415,3,FALSE)</f>
        <v>#N/A</v>
      </c>
      <c r="I588" s="7" t="e">
        <f>VLOOKUP(A588,'1201-29周均耗用'!$A$1:$C$602,3,FALSE)</f>
        <v>#N/A</v>
      </c>
    </row>
    <row r="589" spans="1:9">
      <c r="A589" s="13" t="s">
        <v>1183</v>
      </c>
      <c r="B589" s="14" t="s">
        <v>1184</v>
      </c>
      <c r="C589" s="13">
        <v>0</v>
      </c>
      <c r="D589" s="7">
        <f>IFERROR(VLOOKUP(A589,'1227-29耗量'!$A$1:$C$602,3,FALSE),0)</f>
        <v>0</v>
      </c>
      <c r="E589" s="7">
        <f t="shared" si="18"/>
        <v>0</v>
      </c>
      <c r="F589" s="7" t="str">
        <f t="shared" si="19"/>
        <v>無資料</v>
      </c>
      <c r="G589" s="7" t="e">
        <f>VLOOKUP(A589,Sheet5!$A$2:$D$415,4,FALSE)</f>
        <v>#N/A</v>
      </c>
      <c r="H589" s="7" t="e">
        <f>VLOOKUP(A589,Sheet5!$A$2:$D$415,3,FALSE)</f>
        <v>#N/A</v>
      </c>
      <c r="I589" s="7" t="e">
        <f>VLOOKUP(A589,'1201-29周均耗用'!$A$1:$C$602,3,FALSE)</f>
        <v>#N/A</v>
      </c>
    </row>
    <row r="590" spans="1:9">
      <c r="A590" s="13" t="s">
        <v>1185</v>
      </c>
      <c r="B590" s="14" t="s">
        <v>1186</v>
      </c>
      <c r="C590" s="13">
        <v>84</v>
      </c>
      <c r="D590" s="7">
        <f>IFERROR(VLOOKUP(A590,'1227-29耗量'!$A$1:$C$602,3,FALSE),0)</f>
        <v>3</v>
      </c>
      <c r="E590" s="7">
        <f t="shared" si="18"/>
        <v>81</v>
      </c>
      <c r="F590" s="7" t="str">
        <f t="shared" si="19"/>
        <v>無資料</v>
      </c>
      <c r="G590" s="7" t="e">
        <f>VLOOKUP(A590,Sheet5!$A$2:$D$415,4,FALSE)</f>
        <v>#N/A</v>
      </c>
      <c r="H590" s="7" t="e">
        <f>VLOOKUP(A590,Sheet5!$A$2:$D$415,3,FALSE)</f>
        <v>#N/A</v>
      </c>
      <c r="I590" s="7">
        <f>VLOOKUP(A590,'1201-29周均耗用'!$A$1:$C$602,3,FALSE)</f>
        <v>26.8</v>
      </c>
    </row>
    <row r="591" spans="1:9">
      <c r="A591" s="13" t="s">
        <v>1187</v>
      </c>
      <c r="B591" s="14" t="s">
        <v>1188</v>
      </c>
      <c r="C591" s="13">
        <v>409</v>
      </c>
      <c r="D591" s="7">
        <f>IFERROR(VLOOKUP(A591,'1227-29耗量'!$A$1:$C$602,3,FALSE),0)</f>
        <v>38</v>
      </c>
      <c r="E591" s="7">
        <f t="shared" si="18"/>
        <v>371</v>
      </c>
      <c r="F591" s="7" t="str">
        <f t="shared" si="19"/>
        <v>無資料</v>
      </c>
      <c r="G591" s="7" t="e">
        <f>VLOOKUP(A591,Sheet5!$A$2:$D$415,4,FALSE)</f>
        <v>#N/A</v>
      </c>
      <c r="H591" s="7" t="e">
        <f>VLOOKUP(A591,Sheet5!$A$2:$D$415,3,FALSE)</f>
        <v>#N/A</v>
      </c>
      <c r="I591" s="7">
        <f>VLOOKUP(A591,'1201-29周均耗用'!$A$1:$C$602,3,FALSE)</f>
        <v>135.2</v>
      </c>
    </row>
    <row r="592" spans="1:9">
      <c r="A592" s="13" t="s">
        <v>1189</v>
      </c>
      <c r="B592" s="14" t="s">
        <v>1190</v>
      </c>
      <c r="C592" s="13">
        <v>175</v>
      </c>
      <c r="D592" s="7">
        <f>VLOOKUP(A592,'1227-29耗量'!$A$1:$C$602,3,FALSE)</f>
        <v>50</v>
      </c>
      <c r="E592" s="7">
        <f t="shared" si="18"/>
        <v>125</v>
      </c>
      <c r="F592" s="7" t="str">
        <f t="shared" si="19"/>
        <v>錯誤</v>
      </c>
      <c r="G592" s="7">
        <f>VLOOKUP(A592,Sheet5!$A$2:$D$415,4,FALSE)</f>
        <v>28</v>
      </c>
      <c r="H592" s="7">
        <f>VLOOKUP(A592,Sheet5!$A$2:$D$415,3,FALSE)</f>
        <v>480</v>
      </c>
      <c r="I592" s="7">
        <f>VLOOKUP(A592,'1201-29周均耗用'!$A$1:$C$602,3,FALSE)</f>
        <v>149.2</v>
      </c>
    </row>
    <row r="593" spans="1:9">
      <c r="A593" s="13" t="s">
        <v>1191</v>
      </c>
      <c r="B593" s="14" t="s">
        <v>1192</v>
      </c>
      <c r="C593" s="13">
        <v>420</v>
      </c>
      <c r="D593" s="7">
        <f>VLOOKUP(A593,'1227-29耗量'!$A$1:$C$602,3,FALSE)</f>
        <v>17</v>
      </c>
      <c r="E593" s="7">
        <f t="shared" si="18"/>
        <v>403</v>
      </c>
      <c r="F593" s="7" t="str">
        <f t="shared" si="19"/>
        <v>錯誤</v>
      </c>
      <c r="G593" s="7">
        <f>VLOOKUP(A593,Sheet5!$A$2:$D$415,4,FALSE)</f>
        <v>163</v>
      </c>
      <c r="H593" s="7">
        <f>VLOOKUP(A593,Sheet5!$A$2:$D$415,3,FALSE)</f>
        <v>720</v>
      </c>
      <c r="I593" s="7">
        <f>VLOOKUP(A593,'1201-29周均耗用'!$A$1:$C$602,3,FALSE)</f>
        <v>217</v>
      </c>
    </row>
    <row r="594" spans="1:9">
      <c r="A594" s="13" t="s">
        <v>1193</v>
      </c>
      <c r="B594" s="14" t="s">
        <v>1194</v>
      </c>
      <c r="C594" s="13">
        <v>0</v>
      </c>
      <c r="D594" s="7">
        <f>IFERROR(VLOOKUP(A594,'1227-29耗量'!$A$1:$C$602,3,FALSE),0)</f>
        <v>0</v>
      </c>
      <c r="E594" s="7">
        <f t="shared" si="18"/>
        <v>0</v>
      </c>
      <c r="F594" s="7" t="str">
        <f t="shared" si="19"/>
        <v>無資料</v>
      </c>
      <c r="G594" s="7" t="e">
        <f>VLOOKUP(A594,Sheet5!$A$2:$D$415,4,FALSE)</f>
        <v>#N/A</v>
      </c>
      <c r="H594" s="7" t="e">
        <f>VLOOKUP(A594,Sheet5!$A$2:$D$415,3,FALSE)</f>
        <v>#N/A</v>
      </c>
      <c r="I594" s="7" t="e">
        <f>VLOOKUP(A594,'1201-29周均耗用'!$A$1:$C$602,3,FALSE)</f>
        <v>#N/A</v>
      </c>
    </row>
    <row r="595" spans="1:9">
      <c r="A595" s="13" t="s">
        <v>1195</v>
      </c>
      <c r="B595" s="14" t="s">
        <v>1196</v>
      </c>
      <c r="C595" s="13">
        <v>0</v>
      </c>
      <c r="D595" s="7">
        <f>IFERROR(VLOOKUP(A595,'1227-29耗量'!$A$1:$C$602,3,FALSE),0)</f>
        <v>0</v>
      </c>
      <c r="E595" s="7">
        <f t="shared" si="18"/>
        <v>0</v>
      </c>
      <c r="F595" s="7" t="str">
        <f t="shared" si="19"/>
        <v>無資料</v>
      </c>
      <c r="G595" s="7" t="e">
        <f>VLOOKUP(A595,Sheet5!$A$2:$D$415,4,FALSE)</f>
        <v>#N/A</v>
      </c>
      <c r="H595" s="7" t="e">
        <f>VLOOKUP(A595,Sheet5!$A$2:$D$415,3,FALSE)</f>
        <v>#N/A</v>
      </c>
      <c r="I595" s="7" t="e">
        <f>VLOOKUP(A595,'1201-29周均耗用'!$A$1:$C$602,3,FALSE)</f>
        <v>#N/A</v>
      </c>
    </row>
    <row r="596" spans="1:9">
      <c r="A596" s="13" t="s">
        <v>1197</v>
      </c>
      <c r="B596" s="14" t="s">
        <v>1198</v>
      </c>
      <c r="C596" s="13">
        <v>0</v>
      </c>
      <c r="D596" s="7">
        <f>IFERROR(VLOOKUP(A596,'1227-29耗量'!$A$1:$C$602,3,FALSE),0)</f>
        <v>0</v>
      </c>
      <c r="E596" s="7">
        <f t="shared" si="18"/>
        <v>0</v>
      </c>
      <c r="F596" s="7" t="str">
        <f t="shared" si="19"/>
        <v>無資料</v>
      </c>
      <c r="G596" s="7" t="e">
        <f>VLOOKUP(A596,Sheet5!$A$2:$D$415,4,FALSE)</f>
        <v>#N/A</v>
      </c>
      <c r="H596" s="7" t="e">
        <f>VLOOKUP(A596,Sheet5!$A$2:$D$415,3,FALSE)</f>
        <v>#N/A</v>
      </c>
      <c r="I596" s="7" t="e">
        <f>VLOOKUP(A596,'1201-29周均耗用'!$A$1:$C$602,3,FALSE)</f>
        <v>#N/A</v>
      </c>
    </row>
    <row r="597" spans="1:9">
      <c r="A597" s="13" t="s">
        <v>1199</v>
      </c>
      <c r="B597" s="14" t="s">
        <v>1200</v>
      </c>
      <c r="C597" s="13">
        <v>0</v>
      </c>
      <c r="D597" s="7">
        <f>IFERROR(VLOOKUP(A597,'1227-29耗量'!$A$1:$C$602,3,FALSE),0)</f>
        <v>0</v>
      </c>
      <c r="E597" s="7">
        <f t="shared" si="18"/>
        <v>0</v>
      </c>
      <c r="F597" s="7" t="str">
        <f t="shared" si="19"/>
        <v>無資料</v>
      </c>
      <c r="G597" s="7" t="e">
        <f>VLOOKUP(A597,Sheet5!$A$2:$D$415,4,FALSE)</f>
        <v>#N/A</v>
      </c>
      <c r="H597" s="7" t="e">
        <f>VLOOKUP(A597,Sheet5!$A$2:$D$415,3,FALSE)</f>
        <v>#N/A</v>
      </c>
      <c r="I597" s="7" t="e">
        <f>VLOOKUP(A597,'1201-29周均耗用'!$A$1:$C$602,3,FALSE)</f>
        <v>#N/A</v>
      </c>
    </row>
    <row r="598" spans="1:9">
      <c r="A598" s="13" t="s">
        <v>1201</v>
      </c>
      <c r="B598" s="14" t="s">
        <v>1202</v>
      </c>
      <c r="C598" s="13">
        <v>0</v>
      </c>
      <c r="D598" s="7">
        <f>IFERROR(VLOOKUP(A598,'1227-29耗量'!$A$1:$C$602,3,FALSE),0)</f>
        <v>0</v>
      </c>
      <c r="E598" s="7">
        <f t="shared" si="18"/>
        <v>0</v>
      </c>
      <c r="F598" s="7" t="str">
        <f t="shared" si="19"/>
        <v>無資料</v>
      </c>
      <c r="G598" s="7" t="e">
        <f>VLOOKUP(A598,Sheet5!$A$2:$D$415,4,FALSE)</f>
        <v>#N/A</v>
      </c>
      <c r="H598" s="7" t="e">
        <f>VLOOKUP(A598,Sheet5!$A$2:$D$415,3,FALSE)</f>
        <v>#N/A</v>
      </c>
      <c r="I598" s="7" t="e">
        <f>VLOOKUP(A598,'1201-29周均耗用'!$A$1:$C$602,3,FALSE)</f>
        <v>#N/A</v>
      </c>
    </row>
    <row r="599" spans="1:9">
      <c r="A599" s="13" t="s">
        <v>1203</v>
      </c>
      <c r="B599" s="14" t="s">
        <v>1204</v>
      </c>
      <c r="C599" s="13">
        <v>0</v>
      </c>
      <c r="D599" s="7">
        <f>IFERROR(VLOOKUP(A599,'1227-29耗量'!$A$1:$C$602,3,FALSE),0)</f>
        <v>0</v>
      </c>
      <c r="E599" s="7">
        <f t="shared" si="18"/>
        <v>0</v>
      </c>
      <c r="F599" s="7" t="str">
        <f t="shared" si="19"/>
        <v>無資料</v>
      </c>
      <c r="G599" s="7" t="e">
        <f>VLOOKUP(A599,Sheet5!$A$2:$D$415,4,FALSE)</f>
        <v>#N/A</v>
      </c>
      <c r="H599" s="7" t="e">
        <f>VLOOKUP(A599,Sheet5!$A$2:$D$415,3,FALSE)</f>
        <v>#N/A</v>
      </c>
      <c r="I599" s="7" t="e">
        <f>VLOOKUP(A599,'1201-29周均耗用'!$A$1:$C$602,3,FALSE)</f>
        <v>#N/A</v>
      </c>
    </row>
    <row r="600" spans="1:9">
      <c r="A600" s="13" t="s">
        <v>1205</v>
      </c>
      <c r="B600" s="14" t="s">
        <v>1206</v>
      </c>
      <c r="C600" s="13">
        <v>13</v>
      </c>
      <c r="D600" s="7">
        <f>IFERROR(VLOOKUP(A600,'1227-29耗量'!$A$1:$C$602,3,FALSE),0)</f>
        <v>0</v>
      </c>
      <c r="E600" s="7">
        <f t="shared" si="18"/>
        <v>13</v>
      </c>
      <c r="F600" s="7" t="str">
        <f t="shared" si="19"/>
        <v>無資料</v>
      </c>
      <c r="G600" s="7" t="e">
        <f>VLOOKUP(A600,Sheet5!$A$2:$D$415,4,FALSE)</f>
        <v>#N/A</v>
      </c>
      <c r="H600" s="7" t="e">
        <f>VLOOKUP(A600,Sheet5!$A$2:$D$415,3,FALSE)</f>
        <v>#N/A</v>
      </c>
      <c r="I600" s="7">
        <f>VLOOKUP(A600,'1201-29周均耗用'!$A$1:$C$602,3,FALSE)</f>
        <v>8.5</v>
      </c>
    </row>
    <row r="601" spans="1:9">
      <c r="A601" s="13" t="s">
        <v>1207</v>
      </c>
      <c r="B601" s="14" t="s">
        <v>1208</v>
      </c>
      <c r="C601" s="13">
        <v>0</v>
      </c>
      <c r="D601" s="7">
        <f>IFERROR(VLOOKUP(A601,'1227-29耗量'!$A$1:$C$602,3,FALSE),0)</f>
        <v>0</v>
      </c>
      <c r="E601" s="7">
        <f t="shared" si="18"/>
        <v>0</v>
      </c>
      <c r="F601" s="7" t="str">
        <f t="shared" si="19"/>
        <v>無資料</v>
      </c>
      <c r="G601" s="7" t="e">
        <f>VLOOKUP(A601,Sheet5!$A$2:$D$415,4,FALSE)</f>
        <v>#N/A</v>
      </c>
      <c r="H601" s="7" t="e">
        <f>VLOOKUP(A601,Sheet5!$A$2:$D$415,3,FALSE)</f>
        <v>#N/A</v>
      </c>
      <c r="I601" s="7" t="e">
        <f>VLOOKUP(A601,'1201-29周均耗用'!$A$1:$C$602,3,FALSE)</f>
        <v>#N/A</v>
      </c>
    </row>
    <row r="602" spans="1:9">
      <c r="A602" s="13" t="s">
        <v>1209</v>
      </c>
      <c r="B602" s="14" t="s">
        <v>1210</v>
      </c>
      <c r="C602" s="13">
        <v>715</v>
      </c>
      <c r="D602" s="7">
        <f>IFERROR(VLOOKUP(A602,'1227-29耗量'!$A$1:$C$602,3,FALSE),0)</f>
        <v>50</v>
      </c>
      <c r="E602" s="7">
        <f t="shared" si="18"/>
        <v>665</v>
      </c>
      <c r="F602" s="7" t="str">
        <f t="shared" si="19"/>
        <v>無資料</v>
      </c>
      <c r="G602" s="7" t="e">
        <f>VLOOKUP(A602,Sheet5!$A$2:$D$415,4,FALSE)</f>
        <v>#N/A</v>
      </c>
      <c r="H602" s="7" t="e">
        <f>VLOOKUP(A602,Sheet5!$A$2:$D$415,3,FALSE)</f>
        <v>#N/A</v>
      </c>
      <c r="I602" s="7">
        <f>VLOOKUP(A602,'1201-29周均耗用'!$A$1:$C$602,3,FALSE)</f>
        <v>272.5</v>
      </c>
    </row>
    <row r="603" spans="1:9">
      <c r="A603" s="13" t="s">
        <v>1211</v>
      </c>
      <c r="B603" s="14" t="s">
        <v>1212</v>
      </c>
      <c r="C603" s="13">
        <v>17</v>
      </c>
      <c r="D603" s="7">
        <f>IFERROR(VLOOKUP(A603,'1227-29耗量'!$A$1:$C$602,3,FALSE),0)</f>
        <v>0</v>
      </c>
      <c r="E603" s="7">
        <f t="shared" si="18"/>
        <v>17</v>
      </c>
      <c r="F603" s="7" t="str">
        <f t="shared" si="19"/>
        <v>無資料</v>
      </c>
      <c r="G603" s="7" t="e">
        <f>VLOOKUP(A603,Sheet5!$A$2:$D$415,4,FALSE)</f>
        <v>#N/A</v>
      </c>
      <c r="H603" s="7" t="e">
        <f>VLOOKUP(A603,Sheet5!$A$2:$D$415,3,FALSE)</f>
        <v>#N/A</v>
      </c>
      <c r="I603" s="7" t="e">
        <f>VLOOKUP(A603,'1201-29周均耗用'!$A$1:$C$602,3,FALSE)</f>
        <v>#N/A</v>
      </c>
    </row>
    <row r="604" spans="1:9">
      <c r="A604" s="13" t="s">
        <v>1213</v>
      </c>
      <c r="B604" s="14" t="s">
        <v>1214</v>
      </c>
      <c r="C604" s="13">
        <v>0</v>
      </c>
      <c r="D604" s="7">
        <f>IFERROR(VLOOKUP(A604,'1227-29耗量'!$A$1:$C$602,3,FALSE),0)</f>
        <v>0</v>
      </c>
      <c r="E604" s="7">
        <f t="shared" si="18"/>
        <v>0</v>
      </c>
      <c r="F604" s="7" t="str">
        <f t="shared" si="19"/>
        <v>無資料</v>
      </c>
      <c r="G604" s="7" t="e">
        <f>VLOOKUP(A604,Sheet5!$A$2:$D$415,4,FALSE)</f>
        <v>#N/A</v>
      </c>
      <c r="H604" s="7" t="e">
        <f>VLOOKUP(A604,Sheet5!$A$2:$D$415,3,FALSE)</f>
        <v>#N/A</v>
      </c>
      <c r="I604" s="7" t="e">
        <f>VLOOKUP(A604,'1201-29周均耗用'!$A$1:$C$602,3,FALSE)</f>
        <v>#N/A</v>
      </c>
    </row>
    <row r="605" spans="1:9">
      <c r="A605" s="13" t="s">
        <v>1215</v>
      </c>
      <c r="B605" s="14" t="s">
        <v>1216</v>
      </c>
      <c r="C605" s="13">
        <v>43</v>
      </c>
      <c r="D605" s="7">
        <f>IFERROR(VLOOKUP(A605,'1227-29耗量'!$A$1:$C$602,3,FALSE),0)</f>
        <v>0</v>
      </c>
      <c r="E605" s="7">
        <f t="shared" si="18"/>
        <v>43</v>
      </c>
      <c r="F605" s="7" t="str">
        <f t="shared" si="19"/>
        <v>無資料</v>
      </c>
      <c r="G605" s="7" t="e">
        <f>VLOOKUP(A605,Sheet5!$A$2:$D$415,4,FALSE)</f>
        <v>#N/A</v>
      </c>
      <c r="H605" s="7" t="e">
        <f>VLOOKUP(A605,Sheet5!$A$2:$D$415,3,FALSE)</f>
        <v>#N/A</v>
      </c>
      <c r="I605" s="7" t="e">
        <f>VLOOKUP(A605,'1201-29周均耗用'!$A$1:$C$602,3,FALSE)</f>
        <v>#N/A</v>
      </c>
    </row>
    <row r="606" spans="1:9">
      <c r="A606" s="13" t="s">
        <v>1217</v>
      </c>
      <c r="B606" s="14" t="s">
        <v>1218</v>
      </c>
      <c r="C606" s="13">
        <v>0</v>
      </c>
      <c r="D606" s="7">
        <f>IFERROR(VLOOKUP(A606,'1227-29耗量'!$A$1:$C$602,3,FALSE),0)</f>
        <v>0</v>
      </c>
      <c r="E606" s="7">
        <f t="shared" si="18"/>
        <v>0</v>
      </c>
      <c r="F606" s="7" t="str">
        <f t="shared" si="19"/>
        <v>無資料</v>
      </c>
      <c r="G606" s="7" t="e">
        <f>VLOOKUP(A606,Sheet5!$A$2:$D$415,4,FALSE)</f>
        <v>#N/A</v>
      </c>
      <c r="H606" s="7" t="e">
        <f>VLOOKUP(A606,Sheet5!$A$2:$D$415,3,FALSE)</f>
        <v>#N/A</v>
      </c>
      <c r="I606" s="7" t="e">
        <f>VLOOKUP(A606,'1201-29周均耗用'!$A$1:$C$602,3,FALSE)</f>
        <v>#N/A</v>
      </c>
    </row>
    <row r="607" spans="1:9">
      <c r="A607" s="13" t="s">
        <v>1219</v>
      </c>
      <c r="B607" s="14" t="s">
        <v>1220</v>
      </c>
      <c r="C607" s="13">
        <v>223</v>
      </c>
      <c r="D607" s="7">
        <f>VLOOKUP(A607,'1227-29耗量'!$A$1:$C$602,3,FALSE)</f>
        <v>0</v>
      </c>
      <c r="E607" s="7">
        <f t="shared" si="18"/>
        <v>223</v>
      </c>
      <c r="F607" s="7" t="str">
        <f t="shared" si="19"/>
        <v>錯誤</v>
      </c>
      <c r="G607" s="7">
        <f>VLOOKUP(A607,Sheet5!$A$2:$D$415,4,FALSE)</f>
        <v>187</v>
      </c>
      <c r="H607" s="7">
        <f>VLOOKUP(A607,Sheet5!$A$2:$D$415,3,FALSE)</f>
        <v>300</v>
      </c>
      <c r="I607" s="7">
        <f>VLOOKUP(A607,'1201-29周均耗用'!$A$1:$C$602,3,FALSE)</f>
        <v>101.2</v>
      </c>
    </row>
    <row r="608" spans="1:9">
      <c r="A608" s="13" t="s">
        <v>1221</v>
      </c>
      <c r="B608" s="14" t="s">
        <v>1222</v>
      </c>
      <c r="C608" s="13">
        <v>852</v>
      </c>
      <c r="D608" s="7">
        <f>VLOOKUP(A608,'1227-29耗量'!$A$1:$C$602,3,FALSE)</f>
        <v>32</v>
      </c>
      <c r="E608" s="7">
        <f t="shared" si="18"/>
        <v>820</v>
      </c>
      <c r="F608" s="7" t="str">
        <f t="shared" si="19"/>
        <v>錯誤</v>
      </c>
      <c r="G608" s="7">
        <f>VLOOKUP(A608,Sheet5!$A$2:$D$415,4,FALSE)</f>
        <v>552</v>
      </c>
      <c r="H608" s="7">
        <f>VLOOKUP(A608,Sheet5!$A$2:$D$415,3,FALSE)</f>
        <v>900</v>
      </c>
      <c r="I608" s="7">
        <f>VLOOKUP(A608,'1201-29周均耗用'!$A$1:$C$602,3,FALSE)</f>
        <v>234.2</v>
      </c>
    </row>
    <row r="609" spans="1:9">
      <c r="A609" s="13" t="s">
        <v>1223</v>
      </c>
      <c r="B609" s="14" t="s">
        <v>1224</v>
      </c>
      <c r="C609" s="13">
        <v>31</v>
      </c>
      <c r="D609" s="7">
        <f>IFERROR(VLOOKUP(A609,'1227-29耗量'!$A$1:$C$602,3,FALSE),0)</f>
        <v>1</v>
      </c>
      <c r="E609" s="7">
        <f t="shared" si="18"/>
        <v>30</v>
      </c>
      <c r="F609" s="7" t="str">
        <f t="shared" si="19"/>
        <v>無資料</v>
      </c>
      <c r="G609" s="7" t="e">
        <f>VLOOKUP(A609,Sheet5!$A$2:$D$415,4,FALSE)</f>
        <v>#N/A</v>
      </c>
      <c r="H609" s="7" t="e">
        <f>VLOOKUP(A609,Sheet5!$A$2:$D$415,3,FALSE)</f>
        <v>#N/A</v>
      </c>
      <c r="I609" s="7" t="e">
        <f>VLOOKUP(A609,'1201-29周均耗用'!$A$1:$C$602,3,FALSE)</f>
        <v>#N/A</v>
      </c>
    </row>
    <row r="610" spans="1:9">
      <c r="A610" s="13" t="s">
        <v>1225</v>
      </c>
      <c r="B610" s="14" t="s">
        <v>1226</v>
      </c>
      <c r="C610" s="13">
        <v>5</v>
      </c>
      <c r="D610" s="7">
        <f>IFERROR(VLOOKUP(A610,'1227-29耗量'!$A$1:$C$602,3,FALSE),0)</f>
        <v>0</v>
      </c>
      <c r="E610" s="7">
        <f t="shared" si="18"/>
        <v>5</v>
      </c>
      <c r="F610" s="7" t="str">
        <f t="shared" si="19"/>
        <v>無資料</v>
      </c>
      <c r="G610" s="7" t="e">
        <f>VLOOKUP(A610,Sheet5!$A$2:$D$415,4,FALSE)</f>
        <v>#N/A</v>
      </c>
      <c r="H610" s="7" t="e">
        <f>VLOOKUP(A610,Sheet5!$A$2:$D$415,3,FALSE)</f>
        <v>#N/A</v>
      </c>
      <c r="I610" s="7" t="e">
        <f>VLOOKUP(A610,'1201-29周均耗用'!$A$1:$C$602,3,FALSE)</f>
        <v>#N/A</v>
      </c>
    </row>
    <row r="611" spans="1:9">
      <c r="A611" s="13" t="s">
        <v>1227</v>
      </c>
      <c r="B611" s="14" t="s">
        <v>1228</v>
      </c>
      <c r="C611" s="13">
        <v>2</v>
      </c>
      <c r="D611" s="7">
        <f>IFERROR(VLOOKUP(A611,'1227-29耗量'!$A$1:$C$602,3,FALSE),0)</f>
        <v>1</v>
      </c>
      <c r="E611" s="7">
        <f t="shared" si="18"/>
        <v>1</v>
      </c>
      <c r="F611" s="7" t="str">
        <f t="shared" si="19"/>
        <v>無資料</v>
      </c>
      <c r="G611" s="7" t="e">
        <f>VLOOKUP(A611,Sheet5!$A$2:$D$415,4,FALSE)</f>
        <v>#N/A</v>
      </c>
      <c r="H611" s="7" t="e">
        <f>VLOOKUP(A611,Sheet5!$A$2:$D$415,3,FALSE)</f>
        <v>#N/A</v>
      </c>
      <c r="I611" s="7">
        <f>VLOOKUP(A611,'1201-29周均耗用'!$A$1:$C$602,3,FALSE)</f>
        <v>6.2</v>
      </c>
    </row>
    <row r="612" spans="1:9">
      <c r="A612" s="13" t="s">
        <v>1229</v>
      </c>
      <c r="B612" s="14" t="s">
        <v>1230</v>
      </c>
      <c r="C612" s="13">
        <v>100</v>
      </c>
      <c r="D612" s="7">
        <f>VLOOKUP(A612,'1227-29耗量'!$A$1:$C$602,3,FALSE)</f>
        <v>1</v>
      </c>
      <c r="E612" s="7">
        <f t="shared" si="18"/>
        <v>99</v>
      </c>
      <c r="F612" s="7" t="str">
        <f t="shared" si="19"/>
        <v>錯誤</v>
      </c>
      <c r="G612" s="7">
        <f>VLOOKUP(A612,Sheet5!$A$2:$D$415,4,FALSE)</f>
        <v>21</v>
      </c>
      <c r="H612" s="7">
        <f>VLOOKUP(A612,Sheet5!$A$2:$D$415,3,FALSE)</f>
        <v>80</v>
      </c>
      <c r="I612" s="7" t="e">
        <f>VLOOKUP(A612,'1201-29周均耗用'!$A$1:$C$602,3,FALSE)</f>
        <v>#N/A</v>
      </c>
    </row>
    <row r="613" spans="1:9">
      <c r="A613" s="13" t="s">
        <v>1231</v>
      </c>
      <c r="B613" s="14" t="s">
        <v>1232</v>
      </c>
      <c r="C613" s="13">
        <v>2</v>
      </c>
      <c r="D613" s="7">
        <f>IFERROR(VLOOKUP(A613,'1227-29耗量'!$A$1:$C$602,3,FALSE),0)</f>
        <v>0</v>
      </c>
      <c r="E613" s="7">
        <f t="shared" si="18"/>
        <v>2</v>
      </c>
      <c r="F613" s="7" t="str">
        <f t="shared" si="19"/>
        <v>無資料</v>
      </c>
      <c r="G613" s="7" t="e">
        <f>VLOOKUP(A613,Sheet5!$A$2:$D$415,4,FALSE)</f>
        <v>#N/A</v>
      </c>
      <c r="H613" s="7" t="e">
        <f>VLOOKUP(A613,Sheet5!$A$2:$D$415,3,FALSE)</f>
        <v>#N/A</v>
      </c>
      <c r="I613" s="7">
        <f>VLOOKUP(A613,'1201-29周均耗用'!$A$1:$C$602,3,FALSE)</f>
        <v>2.2</v>
      </c>
    </row>
    <row r="614" spans="1:9">
      <c r="A614" s="13" t="s">
        <v>1233</v>
      </c>
      <c r="B614" s="14" t="s">
        <v>1234</v>
      </c>
      <c r="C614" s="13">
        <v>502</v>
      </c>
      <c r="D614" s="7">
        <f>VLOOKUP(A614,'1227-29耗量'!$A$1:$C$602,3,FALSE)</f>
        <v>51</v>
      </c>
      <c r="E614" s="7">
        <f t="shared" si="18"/>
        <v>451</v>
      </c>
      <c r="F614" s="7" t="str">
        <f t="shared" si="19"/>
        <v>錯誤</v>
      </c>
      <c r="G614" s="7">
        <f>VLOOKUP(A614,Sheet5!$A$2:$D$415,4,FALSE)</f>
        <v>353</v>
      </c>
      <c r="H614" s="7">
        <f>VLOOKUP(A614,Sheet5!$A$2:$D$415,3,FALSE)</f>
        <v>400</v>
      </c>
      <c r="I614" s="7">
        <f>VLOOKUP(A614,'1201-29周均耗用'!$A$1:$C$602,3,FALSE)</f>
        <v>218.2</v>
      </c>
    </row>
    <row r="615" spans="1:9">
      <c r="A615" s="13" t="s">
        <v>1235</v>
      </c>
      <c r="B615" s="14" t="s">
        <v>1236</v>
      </c>
      <c r="C615" s="13">
        <v>414</v>
      </c>
      <c r="D615" s="7">
        <f>IFERROR(VLOOKUP(A615,'1227-29耗量'!$A$1:$C$602,3,FALSE),0)</f>
        <v>4</v>
      </c>
      <c r="E615" s="7">
        <f t="shared" si="18"/>
        <v>410</v>
      </c>
      <c r="F615" s="7" t="str">
        <f t="shared" si="19"/>
        <v>無資料</v>
      </c>
      <c r="G615" s="7" t="e">
        <f>VLOOKUP(A615,Sheet5!$A$2:$D$415,4,FALSE)</f>
        <v>#N/A</v>
      </c>
      <c r="H615" s="7" t="e">
        <f>VLOOKUP(A615,Sheet5!$A$2:$D$415,3,FALSE)</f>
        <v>#N/A</v>
      </c>
      <c r="I615" s="7">
        <f>VLOOKUP(A615,'1201-29周均耗用'!$A$1:$C$602,3,FALSE)</f>
        <v>49</v>
      </c>
    </row>
    <row r="616" spans="1:9">
      <c r="A616" s="13" t="s">
        <v>1237</v>
      </c>
      <c r="B616" s="14" t="s">
        <v>1238</v>
      </c>
      <c r="C616" s="13">
        <v>476</v>
      </c>
      <c r="D616" s="7">
        <f>IFERROR(VLOOKUP(A616,'1227-29耗量'!$A$1:$C$602,3,FALSE),0)</f>
        <v>52</v>
      </c>
      <c r="E616" s="7">
        <f t="shared" si="18"/>
        <v>424</v>
      </c>
      <c r="F616" s="7" t="str">
        <f t="shared" si="19"/>
        <v>無資料</v>
      </c>
      <c r="G616" s="7" t="e">
        <f>VLOOKUP(A616,Sheet5!$A$2:$D$415,4,FALSE)</f>
        <v>#N/A</v>
      </c>
      <c r="H616" s="7" t="e">
        <f>VLOOKUP(A616,Sheet5!$A$2:$D$415,3,FALSE)</f>
        <v>#N/A</v>
      </c>
      <c r="I616" s="7" t="e">
        <f>VLOOKUP(A616,'1201-29周均耗用'!$A$1:$C$602,3,FALSE)</f>
        <v>#N/A</v>
      </c>
    </row>
    <row r="617" spans="1:9">
      <c r="A617" s="13" t="s">
        <v>1239</v>
      </c>
      <c r="B617" s="14" t="s">
        <v>1240</v>
      </c>
      <c r="C617" s="13">
        <v>14</v>
      </c>
      <c r="D617" s="7">
        <f>IFERROR(VLOOKUP(A617,'1227-29耗量'!$A$1:$C$602,3,FALSE),0)</f>
        <v>0</v>
      </c>
      <c r="E617" s="7">
        <f t="shared" si="18"/>
        <v>14</v>
      </c>
      <c r="F617" s="7" t="str">
        <f t="shared" si="19"/>
        <v>無資料</v>
      </c>
      <c r="G617" s="7" t="e">
        <f>VLOOKUP(A617,Sheet5!$A$2:$D$415,4,FALSE)</f>
        <v>#N/A</v>
      </c>
      <c r="H617" s="7" t="e">
        <f>VLOOKUP(A617,Sheet5!$A$2:$D$415,3,FALSE)</f>
        <v>#N/A</v>
      </c>
      <c r="I617" s="7" t="e">
        <f>VLOOKUP(A617,'1201-29周均耗用'!$A$1:$C$602,3,FALSE)</f>
        <v>#N/A</v>
      </c>
    </row>
    <row r="618" spans="1:9">
      <c r="A618" s="13" t="s">
        <v>1241</v>
      </c>
      <c r="B618" s="14" t="s">
        <v>1242</v>
      </c>
      <c r="C618" s="13">
        <v>160</v>
      </c>
      <c r="D618" s="7">
        <f>IFERROR(VLOOKUP(A618,'1227-29耗量'!$A$1:$C$602,3,FALSE),0)</f>
        <v>0</v>
      </c>
      <c r="E618" s="7">
        <f t="shared" si="18"/>
        <v>160</v>
      </c>
      <c r="F618" s="7" t="str">
        <f t="shared" si="19"/>
        <v>錯誤</v>
      </c>
      <c r="G618" s="7">
        <f>VLOOKUP(A618,Sheet5!$A$2:$D$415,4,FALSE)</f>
        <v>25</v>
      </c>
      <c r="H618" s="7">
        <f>VLOOKUP(A618,Sheet5!$A$2:$D$415,3,FALSE)</f>
        <v>189</v>
      </c>
      <c r="I618" s="7">
        <f>VLOOKUP(A618,'1201-29周均耗用'!$A$1:$C$602,3,FALSE)</f>
        <v>47.2</v>
      </c>
    </row>
    <row r="619" spans="1:9">
      <c r="A619" s="13" t="s">
        <v>1243</v>
      </c>
      <c r="B619" s="14" t="s">
        <v>1244</v>
      </c>
      <c r="C619" s="13">
        <v>223</v>
      </c>
      <c r="D619" s="7">
        <f>IFERROR(VLOOKUP(A619,'1227-29耗量'!$A$1:$C$602,3,FALSE),0)</f>
        <v>2</v>
      </c>
      <c r="E619" s="7">
        <f t="shared" si="18"/>
        <v>221</v>
      </c>
      <c r="F619" s="7" t="str">
        <f t="shared" si="19"/>
        <v>無資料</v>
      </c>
      <c r="G619" s="7" t="e">
        <f>VLOOKUP(A619,Sheet5!$A$2:$D$415,4,FALSE)</f>
        <v>#N/A</v>
      </c>
      <c r="H619" s="7" t="e">
        <f>VLOOKUP(A619,Sheet5!$A$2:$D$415,3,FALSE)</f>
        <v>#N/A</v>
      </c>
      <c r="I619" s="7">
        <f>VLOOKUP(A619,'1201-29周均耗用'!$A$1:$C$602,3,FALSE)</f>
        <v>17.8</v>
      </c>
    </row>
    <row r="620" spans="1:9">
      <c r="A620" s="13" t="s">
        <v>1245</v>
      </c>
      <c r="B620" s="14" t="s">
        <v>1246</v>
      </c>
      <c r="C620" s="13">
        <v>96</v>
      </c>
      <c r="D620" s="7">
        <f>VLOOKUP(A620,'1227-29耗量'!$A$1:$C$602,3,FALSE)</f>
        <v>7</v>
      </c>
      <c r="E620" s="7">
        <f t="shared" si="18"/>
        <v>89</v>
      </c>
      <c r="F620" s="7" t="str">
        <f t="shared" si="19"/>
        <v>錯誤</v>
      </c>
      <c r="G620" s="7">
        <f>VLOOKUP(A620,Sheet5!$A$2:$D$415,4,FALSE)</f>
        <v>37</v>
      </c>
      <c r="H620" s="7">
        <f>VLOOKUP(A620,Sheet5!$A$2:$D$415,3,FALSE)</f>
        <v>168</v>
      </c>
      <c r="I620" s="7">
        <f>VLOOKUP(A620,'1201-29周均耗用'!$A$1:$C$602,3,FALSE)</f>
        <v>50.5</v>
      </c>
    </row>
    <row r="621" spans="1:9">
      <c r="A621" s="13" t="s">
        <v>1247</v>
      </c>
      <c r="B621" s="14" t="s">
        <v>1248</v>
      </c>
      <c r="C621" s="13">
        <v>36</v>
      </c>
      <c r="D621" s="7">
        <f>IFERROR(VLOOKUP(A621,'1227-29耗量'!$A$1:$C$602,3,FALSE),0)</f>
        <v>0</v>
      </c>
      <c r="E621" s="7">
        <f t="shared" si="18"/>
        <v>36</v>
      </c>
      <c r="F621" s="7" t="str">
        <f t="shared" si="19"/>
        <v>無資料</v>
      </c>
      <c r="G621" s="7" t="e">
        <f>VLOOKUP(A621,Sheet5!$A$2:$D$415,4,FALSE)</f>
        <v>#N/A</v>
      </c>
      <c r="H621" s="7" t="e">
        <f>VLOOKUP(A621,Sheet5!$A$2:$D$415,3,FALSE)</f>
        <v>#N/A</v>
      </c>
      <c r="I621" s="7" t="e">
        <f>VLOOKUP(A621,'1201-29周均耗用'!$A$1:$C$602,3,FALSE)</f>
        <v>#N/A</v>
      </c>
    </row>
    <row r="622" spans="1:9">
      <c r="A622" s="13" t="s">
        <v>1249</v>
      </c>
      <c r="B622" s="14" t="s">
        <v>1250</v>
      </c>
      <c r="C622" s="13">
        <v>433</v>
      </c>
      <c r="D622" s="7">
        <f>IFERROR(VLOOKUP(A622,'1227-29耗量'!$A$1:$C$602,3,FALSE),0)</f>
        <v>8</v>
      </c>
      <c r="E622" s="7">
        <f t="shared" si="18"/>
        <v>425</v>
      </c>
      <c r="F622" s="7" t="str">
        <f t="shared" si="19"/>
        <v>無資料</v>
      </c>
      <c r="G622" s="7" t="e">
        <f>VLOOKUP(A622,Sheet5!$A$2:$D$415,4,FALSE)</f>
        <v>#N/A</v>
      </c>
      <c r="H622" s="7" t="e">
        <f>VLOOKUP(A622,Sheet5!$A$2:$D$415,3,FALSE)</f>
        <v>#N/A</v>
      </c>
      <c r="I622" s="7">
        <f>VLOOKUP(A622,'1201-29周均耗用'!$A$1:$C$602,3,FALSE)</f>
        <v>46</v>
      </c>
    </row>
    <row r="623" spans="1:9">
      <c r="A623" s="13" t="s">
        <v>1251</v>
      </c>
      <c r="B623" s="14" t="s">
        <v>1252</v>
      </c>
      <c r="C623" s="13">
        <v>96</v>
      </c>
      <c r="D623" s="7">
        <f>VLOOKUP(A623,'1227-29耗量'!$A$1:$C$602,3,FALSE)</f>
        <v>13</v>
      </c>
      <c r="E623" s="7">
        <f t="shared" si="18"/>
        <v>83</v>
      </c>
      <c r="F623" s="7" t="str">
        <f t="shared" si="19"/>
        <v>錯誤</v>
      </c>
      <c r="G623" s="7">
        <f>VLOOKUP(A623,Sheet5!$A$2:$D$415,4,FALSE)</f>
        <v>14</v>
      </c>
      <c r="H623" s="7">
        <f>VLOOKUP(A623,Sheet5!$A$2:$D$415,3,FALSE)</f>
        <v>90</v>
      </c>
      <c r="I623" s="7">
        <f>VLOOKUP(A623,'1201-29周均耗用'!$A$1:$C$602,3,FALSE)</f>
        <v>27</v>
      </c>
    </row>
    <row r="624" spans="1:9">
      <c r="A624" s="13" t="s">
        <v>1253</v>
      </c>
      <c r="B624" s="14" t="s">
        <v>1254</v>
      </c>
      <c r="C624" s="13">
        <v>115</v>
      </c>
      <c r="D624" s="7">
        <f>IFERROR(VLOOKUP(A624,'1227-29耗量'!$A$1:$C$602,3,FALSE),0)</f>
        <v>0</v>
      </c>
      <c r="E624" s="7">
        <f t="shared" si="18"/>
        <v>115</v>
      </c>
      <c r="F624" s="7" t="str">
        <f t="shared" si="19"/>
        <v>無資料</v>
      </c>
      <c r="G624" s="7" t="e">
        <f>VLOOKUP(A624,Sheet5!$A$2:$D$415,4,FALSE)</f>
        <v>#N/A</v>
      </c>
      <c r="H624" s="7" t="e">
        <f>VLOOKUP(A624,Sheet5!$A$2:$D$415,3,FALSE)</f>
        <v>#N/A</v>
      </c>
      <c r="I624" s="7" t="e">
        <f>VLOOKUP(A624,'1201-29周均耗用'!$A$1:$C$602,3,FALSE)</f>
        <v>#N/A</v>
      </c>
    </row>
    <row r="625" spans="1:9">
      <c r="A625" s="13" t="s">
        <v>1255</v>
      </c>
      <c r="B625" s="14" t="s">
        <v>1256</v>
      </c>
      <c r="C625" s="13">
        <v>16</v>
      </c>
      <c r="D625" s="7">
        <f>IFERROR(VLOOKUP(A625,'1227-29耗量'!$A$1:$C$602,3,FALSE),0)</f>
        <v>0</v>
      </c>
      <c r="E625" s="7">
        <f t="shared" si="18"/>
        <v>16</v>
      </c>
      <c r="F625" s="7" t="str">
        <f t="shared" si="19"/>
        <v>無資料</v>
      </c>
      <c r="G625" s="7" t="e">
        <f>VLOOKUP(A625,Sheet5!$A$2:$D$415,4,FALSE)</f>
        <v>#N/A</v>
      </c>
      <c r="H625" s="7" t="e">
        <f>VLOOKUP(A625,Sheet5!$A$2:$D$415,3,FALSE)</f>
        <v>#N/A</v>
      </c>
      <c r="I625" s="7" t="e">
        <f>VLOOKUP(A625,'1201-29周均耗用'!$A$1:$C$602,3,FALSE)</f>
        <v>#N/A</v>
      </c>
    </row>
    <row r="626" spans="1:9">
      <c r="A626" s="13" t="s">
        <v>1257</v>
      </c>
      <c r="B626" s="14" t="s">
        <v>1258</v>
      </c>
      <c r="C626" s="13">
        <v>537</v>
      </c>
      <c r="D626" s="7">
        <f>VLOOKUP(A626,'1227-29耗量'!$A$1:$C$602,3,FALSE)</f>
        <v>2</v>
      </c>
      <c r="E626" s="7">
        <f t="shared" si="18"/>
        <v>535</v>
      </c>
      <c r="F626" s="7" t="str">
        <f t="shared" si="19"/>
        <v>錯誤</v>
      </c>
      <c r="G626" s="7">
        <f>VLOOKUP(A626,Sheet5!$A$2:$D$415,4,FALSE)</f>
        <v>142</v>
      </c>
      <c r="H626" s="7">
        <f>VLOOKUP(A626,Sheet5!$A$2:$D$415,3,FALSE)</f>
        <v>360</v>
      </c>
      <c r="I626" s="7">
        <f>VLOOKUP(A626,'1201-29周均耗用'!$A$1:$C$602,3,FALSE)</f>
        <v>77.2</v>
      </c>
    </row>
    <row r="627" spans="1:9">
      <c r="A627" s="13" t="s">
        <v>1259</v>
      </c>
      <c r="B627" s="14" t="s">
        <v>1260</v>
      </c>
      <c r="C627" s="13">
        <v>784</v>
      </c>
      <c r="D627" s="7">
        <f>IFERROR(VLOOKUP(A627,'1227-29耗量'!$A$1:$C$602,3,FALSE),0)</f>
        <v>12</v>
      </c>
      <c r="E627" s="7">
        <f t="shared" si="18"/>
        <v>772</v>
      </c>
      <c r="F627" s="7" t="str">
        <f t="shared" si="19"/>
        <v>無資料</v>
      </c>
      <c r="G627" s="7" t="e">
        <f>VLOOKUP(A627,Sheet5!$A$2:$D$415,4,FALSE)</f>
        <v>#N/A</v>
      </c>
      <c r="H627" s="7" t="e">
        <f>VLOOKUP(A627,Sheet5!$A$2:$D$415,3,FALSE)</f>
        <v>#N/A</v>
      </c>
      <c r="I627" s="7">
        <f>VLOOKUP(A627,'1201-29周均耗用'!$A$1:$C$602,3,FALSE)</f>
        <v>100</v>
      </c>
    </row>
    <row r="628" spans="1:9">
      <c r="A628" s="13" t="s">
        <v>1261</v>
      </c>
      <c r="B628" s="14" t="s">
        <v>1262</v>
      </c>
      <c r="C628" s="13">
        <v>125</v>
      </c>
      <c r="D628" s="7">
        <f>IFERROR(VLOOKUP(A628,'1227-29耗量'!$A$1:$C$602,3,FALSE),0)</f>
        <v>0</v>
      </c>
      <c r="E628" s="7">
        <f t="shared" si="18"/>
        <v>125</v>
      </c>
      <c r="F628" s="7" t="str">
        <f t="shared" si="19"/>
        <v>無資料</v>
      </c>
      <c r="G628" s="7" t="e">
        <f>VLOOKUP(A628,Sheet5!$A$2:$D$415,4,FALSE)</f>
        <v>#N/A</v>
      </c>
      <c r="H628" s="7" t="e">
        <f>VLOOKUP(A628,Sheet5!$A$2:$D$415,3,FALSE)</f>
        <v>#N/A</v>
      </c>
      <c r="I628" s="7">
        <f>VLOOKUP(A628,'1201-29周均耗用'!$A$1:$C$602,3,FALSE)</f>
        <v>1</v>
      </c>
    </row>
    <row r="629" spans="1:9">
      <c r="A629" s="13" t="s">
        <v>1263</v>
      </c>
      <c r="B629" s="14" t="s">
        <v>1264</v>
      </c>
      <c r="C629" s="13">
        <v>549</v>
      </c>
      <c r="D629" s="7">
        <f>VLOOKUP(A629,'1227-29耗量'!$A$1:$C$602,3,FALSE)</f>
        <v>6</v>
      </c>
      <c r="E629" s="7">
        <f t="shared" si="18"/>
        <v>543</v>
      </c>
      <c r="F629" s="7" t="str">
        <f t="shared" si="19"/>
        <v>錯誤</v>
      </c>
      <c r="G629" s="7">
        <f>VLOOKUP(A629,Sheet5!$A$2:$D$415,4,FALSE)</f>
        <v>213</v>
      </c>
      <c r="H629" s="7">
        <f>VLOOKUP(A629,Sheet5!$A$2:$D$415,3,FALSE)</f>
        <v>280</v>
      </c>
      <c r="I629" s="7">
        <f>VLOOKUP(A629,'1201-29周均耗用'!$A$1:$C$602,3,FALSE)</f>
        <v>116.5</v>
      </c>
    </row>
    <row r="630" spans="1:9">
      <c r="A630" s="13" t="s">
        <v>1265</v>
      </c>
      <c r="B630" s="14" t="s">
        <v>1266</v>
      </c>
      <c r="C630" s="13">
        <v>21</v>
      </c>
      <c r="D630" s="7">
        <f>IFERROR(VLOOKUP(A630,'1227-29耗量'!$A$1:$C$602,3,FALSE),0)</f>
        <v>2</v>
      </c>
      <c r="E630" s="7">
        <f t="shared" si="18"/>
        <v>19</v>
      </c>
      <c r="F630" s="7" t="str">
        <f t="shared" si="19"/>
        <v>無資料</v>
      </c>
      <c r="G630" s="7" t="e">
        <f>VLOOKUP(A630,Sheet5!$A$2:$D$415,4,FALSE)</f>
        <v>#N/A</v>
      </c>
      <c r="H630" s="7" t="e">
        <f>VLOOKUP(A630,Sheet5!$A$2:$D$415,3,FALSE)</f>
        <v>#N/A</v>
      </c>
      <c r="I630" s="7">
        <f>VLOOKUP(A630,'1201-29周均耗用'!$A$1:$C$602,3,FALSE)</f>
        <v>6.8</v>
      </c>
    </row>
    <row r="631" spans="1:9">
      <c r="A631" s="13" t="s">
        <v>1267</v>
      </c>
      <c r="B631" s="14" t="s">
        <v>1268</v>
      </c>
      <c r="C631" s="13">
        <v>0</v>
      </c>
      <c r="D631" s="7">
        <f>IFERROR(VLOOKUP(A631,'1227-29耗量'!$A$1:$C$602,3,FALSE),0)</f>
        <v>0</v>
      </c>
      <c r="E631" s="7">
        <f t="shared" si="18"/>
        <v>0</v>
      </c>
      <c r="F631" s="7" t="str">
        <f t="shared" si="19"/>
        <v>無資料</v>
      </c>
      <c r="G631" s="7" t="e">
        <f>VLOOKUP(A631,Sheet5!$A$2:$D$415,4,FALSE)</f>
        <v>#N/A</v>
      </c>
      <c r="H631" s="7" t="e">
        <f>VLOOKUP(A631,Sheet5!$A$2:$D$415,3,FALSE)</f>
        <v>#N/A</v>
      </c>
      <c r="I631" s="7" t="e">
        <f>VLOOKUP(A631,'1201-29周均耗用'!$A$1:$C$602,3,FALSE)</f>
        <v>#N/A</v>
      </c>
    </row>
    <row r="632" spans="1:9">
      <c r="A632" s="13" t="s">
        <v>1269</v>
      </c>
      <c r="B632" s="14" t="s">
        <v>1270</v>
      </c>
      <c r="C632" s="13">
        <v>1322</v>
      </c>
      <c r="D632" s="7">
        <f>IFERROR(VLOOKUP(A632,'1227-29耗量'!$A$1:$C$602,3,FALSE),0)</f>
        <v>9</v>
      </c>
      <c r="E632" s="7">
        <f t="shared" si="18"/>
        <v>1313</v>
      </c>
      <c r="F632" s="7" t="str">
        <f t="shared" si="19"/>
        <v>無資料</v>
      </c>
      <c r="G632" s="7" t="e">
        <f>VLOOKUP(A632,Sheet5!$A$2:$D$415,4,FALSE)</f>
        <v>#N/A</v>
      </c>
      <c r="H632" s="7" t="e">
        <f>VLOOKUP(A632,Sheet5!$A$2:$D$415,3,FALSE)</f>
        <v>#N/A</v>
      </c>
      <c r="I632" s="7">
        <f>VLOOKUP(A632,'1201-29周均耗用'!$A$1:$C$602,3,FALSE)</f>
        <v>112.5</v>
      </c>
    </row>
    <row r="633" spans="1:9">
      <c r="A633" s="13" t="s">
        <v>1271</v>
      </c>
      <c r="B633" s="14" t="s">
        <v>1272</v>
      </c>
      <c r="C633" s="13">
        <v>48</v>
      </c>
      <c r="D633" s="7">
        <f>IFERROR(VLOOKUP(A633,'1227-29耗量'!$A$1:$C$602,3,FALSE),0)</f>
        <v>0</v>
      </c>
      <c r="E633" s="7">
        <f t="shared" si="18"/>
        <v>48</v>
      </c>
      <c r="F633" s="7" t="str">
        <f t="shared" si="19"/>
        <v>無資料</v>
      </c>
      <c r="G633" s="7" t="e">
        <f>VLOOKUP(A633,Sheet5!$A$2:$D$415,4,FALSE)</f>
        <v>#N/A</v>
      </c>
      <c r="H633" s="7" t="e">
        <f>VLOOKUP(A633,Sheet5!$A$2:$D$415,3,FALSE)</f>
        <v>#N/A</v>
      </c>
      <c r="I633" s="7" t="e">
        <f>VLOOKUP(A633,'1201-29周均耗用'!$A$1:$C$602,3,FALSE)</f>
        <v>#N/A</v>
      </c>
    </row>
    <row r="634" spans="1:9">
      <c r="A634" s="13" t="s">
        <v>1273</v>
      </c>
      <c r="B634" s="14" t="s">
        <v>1274</v>
      </c>
      <c r="C634" s="13">
        <v>0</v>
      </c>
      <c r="D634" s="7">
        <f>IFERROR(VLOOKUP(A634,'1227-29耗量'!$A$1:$C$602,3,FALSE),0)</f>
        <v>0</v>
      </c>
      <c r="E634" s="7">
        <f t="shared" si="18"/>
        <v>0</v>
      </c>
      <c r="F634" s="7" t="str">
        <f t="shared" si="19"/>
        <v>無資料</v>
      </c>
      <c r="G634" s="7" t="e">
        <f>VLOOKUP(A634,Sheet5!$A$2:$D$415,4,FALSE)</f>
        <v>#N/A</v>
      </c>
      <c r="H634" s="7" t="e">
        <f>VLOOKUP(A634,Sheet5!$A$2:$D$415,3,FALSE)</f>
        <v>#N/A</v>
      </c>
      <c r="I634" s="7" t="e">
        <f>VLOOKUP(A634,'1201-29周均耗用'!$A$1:$C$602,3,FALSE)</f>
        <v>#N/A</v>
      </c>
    </row>
    <row r="635" spans="1:9">
      <c r="A635" s="13" t="s">
        <v>1275</v>
      </c>
      <c r="B635" s="14" t="s">
        <v>1276</v>
      </c>
      <c r="C635" s="13">
        <v>0</v>
      </c>
      <c r="D635" s="7">
        <f>IFERROR(VLOOKUP(A635,'1227-29耗量'!$A$1:$C$602,3,FALSE),0)</f>
        <v>0</v>
      </c>
      <c r="E635" s="7">
        <f t="shared" si="18"/>
        <v>0</v>
      </c>
      <c r="F635" s="7" t="str">
        <f t="shared" si="19"/>
        <v>無資料</v>
      </c>
      <c r="G635" s="7" t="e">
        <f>VLOOKUP(A635,Sheet5!$A$2:$D$415,4,FALSE)</f>
        <v>#N/A</v>
      </c>
      <c r="H635" s="7" t="e">
        <f>VLOOKUP(A635,Sheet5!$A$2:$D$415,3,FALSE)</f>
        <v>#N/A</v>
      </c>
      <c r="I635" s="7">
        <f>VLOOKUP(A635,'1201-29周均耗用'!$A$1:$C$602,3,FALSE)</f>
        <v>1</v>
      </c>
    </row>
    <row r="636" spans="1:9">
      <c r="A636" s="13" t="s">
        <v>1277</v>
      </c>
      <c r="B636" s="14" t="s">
        <v>1278</v>
      </c>
      <c r="C636" s="13">
        <v>0</v>
      </c>
      <c r="D636" s="7">
        <f>IFERROR(VLOOKUP(A636,'1227-29耗量'!$A$1:$C$602,3,FALSE),0)</f>
        <v>0</v>
      </c>
      <c r="E636" s="7">
        <f t="shared" si="18"/>
        <v>0</v>
      </c>
      <c r="F636" s="7" t="str">
        <f t="shared" si="19"/>
        <v>無資料</v>
      </c>
      <c r="G636" s="7" t="e">
        <f>VLOOKUP(A636,Sheet5!$A$2:$D$415,4,FALSE)</f>
        <v>#N/A</v>
      </c>
      <c r="H636" s="7" t="e">
        <f>VLOOKUP(A636,Sheet5!$A$2:$D$415,3,FALSE)</f>
        <v>#N/A</v>
      </c>
      <c r="I636" s="7" t="e">
        <f>VLOOKUP(A636,'1201-29周均耗用'!$A$1:$C$602,3,FALSE)</f>
        <v>#N/A</v>
      </c>
    </row>
    <row r="637" spans="1:9">
      <c r="A637" s="13" t="s">
        <v>1279</v>
      </c>
      <c r="B637" s="14" t="s">
        <v>1280</v>
      </c>
      <c r="C637" s="13">
        <v>7</v>
      </c>
      <c r="D637" s="7">
        <f>IFERROR(VLOOKUP(A637,'1227-29耗量'!$A$1:$C$602,3,FALSE),0)</f>
        <v>3</v>
      </c>
      <c r="E637" s="7">
        <f t="shared" si="18"/>
        <v>4</v>
      </c>
      <c r="F637" s="7" t="str">
        <f t="shared" si="19"/>
        <v>無資料</v>
      </c>
      <c r="G637" s="7" t="e">
        <f>VLOOKUP(A637,Sheet5!$A$2:$D$415,4,FALSE)</f>
        <v>#N/A</v>
      </c>
      <c r="H637" s="7" t="e">
        <f>VLOOKUP(A637,Sheet5!$A$2:$D$415,3,FALSE)</f>
        <v>#N/A</v>
      </c>
      <c r="I637" s="7">
        <f>VLOOKUP(A637,'1201-29周均耗用'!$A$1:$C$602,3,FALSE)</f>
        <v>3.5</v>
      </c>
    </row>
    <row r="638" spans="1:9">
      <c r="A638" s="13" t="s">
        <v>1281</v>
      </c>
      <c r="B638" s="14" t="s">
        <v>1282</v>
      </c>
      <c r="C638" s="13">
        <v>49</v>
      </c>
      <c r="D638" s="7">
        <f>IFERROR(VLOOKUP(A638,'1227-29耗量'!$A$1:$C$602,3,FALSE),0)</f>
        <v>0</v>
      </c>
      <c r="E638" s="7">
        <f t="shared" si="18"/>
        <v>49</v>
      </c>
      <c r="F638" s="7" t="str">
        <f t="shared" si="19"/>
        <v>無資料</v>
      </c>
      <c r="G638" s="7" t="e">
        <f>VLOOKUP(A638,Sheet5!$A$2:$D$415,4,FALSE)</f>
        <v>#N/A</v>
      </c>
      <c r="H638" s="7" t="e">
        <f>VLOOKUP(A638,Sheet5!$A$2:$D$415,3,FALSE)</f>
        <v>#N/A</v>
      </c>
      <c r="I638" s="7" t="e">
        <f>VLOOKUP(A638,'1201-29周均耗用'!$A$1:$C$602,3,FALSE)</f>
        <v>#N/A</v>
      </c>
    </row>
    <row r="639" spans="1:9">
      <c r="A639" s="13" t="s">
        <v>1283</v>
      </c>
      <c r="B639" s="14" t="s">
        <v>1284</v>
      </c>
      <c r="C639" s="13">
        <v>0</v>
      </c>
      <c r="D639" s="7">
        <f>IFERROR(VLOOKUP(A639,'1227-29耗量'!$A$1:$C$602,3,FALSE),0)</f>
        <v>0</v>
      </c>
      <c r="E639" s="7">
        <f t="shared" si="18"/>
        <v>0</v>
      </c>
      <c r="F639" s="7" t="str">
        <f t="shared" si="19"/>
        <v>無資料</v>
      </c>
      <c r="G639" s="7" t="e">
        <f>VLOOKUP(A639,Sheet5!$A$2:$D$415,4,FALSE)</f>
        <v>#N/A</v>
      </c>
      <c r="H639" s="7" t="e">
        <f>VLOOKUP(A639,Sheet5!$A$2:$D$415,3,FALSE)</f>
        <v>#N/A</v>
      </c>
      <c r="I639" s="7">
        <f>VLOOKUP(A639,'1201-29周均耗用'!$A$1:$C$602,3,FALSE)</f>
        <v>0.2</v>
      </c>
    </row>
    <row r="640" spans="1:9">
      <c r="A640" s="13" t="s">
        <v>1285</v>
      </c>
      <c r="B640" s="14" t="s">
        <v>1286</v>
      </c>
      <c r="C640" s="13">
        <v>43</v>
      </c>
      <c r="D640" s="7">
        <f>IFERROR(VLOOKUP(A640,'1227-29耗量'!$A$1:$C$602,3,FALSE),0)</f>
        <v>0</v>
      </c>
      <c r="E640" s="7">
        <f t="shared" si="18"/>
        <v>43</v>
      </c>
      <c r="F640" s="7" t="str">
        <f t="shared" si="19"/>
        <v>錯誤</v>
      </c>
      <c r="G640" s="7">
        <f>VLOOKUP(A640,Sheet5!$A$2:$D$415,4,FALSE)</f>
        <v>17</v>
      </c>
      <c r="H640" s="7">
        <f>VLOOKUP(A640,Sheet5!$A$2:$D$415,3,FALSE)</f>
        <v>25</v>
      </c>
      <c r="I640" s="7">
        <f>VLOOKUP(A640,'1201-29周均耗用'!$A$1:$C$602,3,FALSE)</f>
        <v>6</v>
      </c>
    </row>
    <row r="641" spans="1:9">
      <c r="A641" s="13" t="s">
        <v>1287</v>
      </c>
      <c r="B641" s="14" t="s">
        <v>1288</v>
      </c>
      <c r="C641" s="13">
        <v>0</v>
      </c>
      <c r="D641" s="7">
        <f>IFERROR(VLOOKUP(A641,'1227-29耗量'!$A$1:$C$602,3,FALSE),0)</f>
        <v>0</v>
      </c>
      <c r="E641" s="7">
        <f t="shared" si="18"/>
        <v>0</v>
      </c>
      <c r="F641" s="7" t="str">
        <f t="shared" si="19"/>
        <v>無資料</v>
      </c>
      <c r="G641" s="7" t="e">
        <f>VLOOKUP(A641,Sheet5!$A$2:$D$415,4,FALSE)</f>
        <v>#N/A</v>
      </c>
      <c r="H641" s="7" t="e">
        <f>VLOOKUP(A641,Sheet5!$A$2:$D$415,3,FALSE)</f>
        <v>#N/A</v>
      </c>
      <c r="I641" s="7">
        <f>VLOOKUP(A641,'1201-29周均耗用'!$A$1:$C$602,3,FALSE)</f>
        <v>0.2</v>
      </c>
    </row>
    <row r="642" spans="1:9">
      <c r="A642" s="13" t="s">
        <v>1289</v>
      </c>
      <c r="B642" s="14" t="s">
        <v>1290</v>
      </c>
      <c r="C642" s="13">
        <v>0</v>
      </c>
      <c r="D642" s="7">
        <f>IFERROR(VLOOKUP(A642,'1227-29耗量'!$A$1:$C$602,3,FALSE),0)</f>
        <v>0</v>
      </c>
      <c r="E642" s="7">
        <f t="shared" si="18"/>
        <v>0</v>
      </c>
      <c r="F642" s="7" t="str">
        <f t="shared" si="19"/>
        <v>無資料</v>
      </c>
      <c r="G642" s="7" t="e">
        <f>VLOOKUP(A642,Sheet5!$A$2:$D$415,4,FALSE)</f>
        <v>#N/A</v>
      </c>
      <c r="H642" s="7" t="e">
        <f>VLOOKUP(A642,Sheet5!$A$2:$D$415,3,FALSE)</f>
        <v>#N/A</v>
      </c>
      <c r="I642" s="7" t="e">
        <f>VLOOKUP(A642,'1201-29周均耗用'!$A$1:$C$602,3,FALSE)</f>
        <v>#N/A</v>
      </c>
    </row>
    <row r="643" spans="1:9">
      <c r="A643" s="13" t="s">
        <v>1291</v>
      </c>
      <c r="B643" s="14" t="s">
        <v>1292</v>
      </c>
      <c r="C643" s="13">
        <v>1066</v>
      </c>
      <c r="D643" s="7">
        <f>IFERROR(VLOOKUP(A643,'1227-29耗量'!$A$1:$C$602,3,FALSE),0)</f>
        <v>27</v>
      </c>
      <c r="E643" s="7">
        <f t="shared" ref="E643:E706" si="20">C643-D643</f>
        <v>1039</v>
      </c>
      <c r="F643" s="7" t="str">
        <f t="shared" ref="F643:F706" si="21">IFERROR(IF(E643=G643,"OK","錯誤"),"無資料")</f>
        <v>無資料</v>
      </c>
      <c r="G643" s="7" t="e">
        <f>VLOOKUP(A643,Sheet5!$A$2:$D$415,4,FALSE)</f>
        <v>#N/A</v>
      </c>
      <c r="H643" s="7" t="e">
        <f>VLOOKUP(A643,Sheet5!$A$2:$D$415,3,FALSE)</f>
        <v>#N/A</v>
      </c>
      <c r="I643" s="7">
        <f>VLOOKUP(A643,'1201-29周均耗用'!$A$1:$C$602,3,FALSE)</f>
        <v>185</v>
      </c>
    </row>
    <row r="644" spans="1:9">
      <c r="A644" s="13" t="s">
        <v>1293</v>
      </c>
      <c r="B644" s="14" t="s">
        <v>1294</v>
      </c>
      <c r="C644" s="13">
        <v>0</v>
      </c>
      <c r="D644" s="7">
        <f>IFERROR(VLOOKUP(A644,'1227-29耗量'!$A$1:$C$602,3,FALSE),0)</f>
        <v>0</v>
      </c>
      <c r="E644" s="7">
        <f t="shared" si="20"/>
        <v>0</v>
      </c>
      <c r="F644" s="7" t="str">
        <f t="shared" si="21"/>
        <v>無資料</v>
      </c>
      <c r="G644" s="7" t="e">
        <f>VLOOKUP(A644,Sheet5!$A$2:$D$415,4,FALSE)</f>
        <v>#N/A</v>
      </c>
      <c r="H644" s="7" t="e">
        <f>VLOOKUP(A644,Sheet5!$A$2:$D$415,3,FALSE)</f>
        <v>#N/A</v>
      </c>
      <c r="I644" s="7" t="e">
        <f>VLOOKUP(A644,'1201-29周均耗用'!$A$1:$C$602,3,FALSE)</f>
        <v>#N/A</v>
      </c>
    </row>
    <row r="645" spans="1:9">
      <c r="A645" s="13" t="s">
        <v>1295</v>
      </c>
      <c r="B645" s="14" t="s">
        <v>1296</v>
      </c>
      <c r="C645" s="13">
        <v>542</v>
      </c>
      <c r="D645" s="7">
        <f>VLOOKUP(A645,'1227-29耗量'!$A$1:$C$602,3,FALSE)</f>
        <v>35</v>
      </c>
      <c r="E645" s="7">
        <f t="shared" si="20"/>
        <v>507</v>
      </c>
      <c r="F645" s="7" t="str">
        <f t="shared" si="21"/>
        <v>錯誤</v>
      </c>
      <c r="G645" s="7">
        <f>VLOOKUP(A645,Sheet5!$A$2:$D$415,4,FALSE)</f>
        <v>350</v>
      </c>
      <c r="H645" s="7">
        <f>VLOOKUP(A645,Sheet5!$A$2:$D$415,3,FALSE)</f>
        <v>400</v>
      </c>
      <c r="I645" s="7">
        <f>VLOOKUP(A645,'1201-29周均耗用'!$A$1:$C$602,3,FALSE)</f>
        <v>106.5</v>
      </c>
    </row>
    <row r="646" spans="1:9">
      <c r="A646" s="13" t="s">
        <v>1297</v>
      </c>
      <c r="B646" s="14" t="s">
        <v>1298</v>
      </c>
      <c r="C646" s="13">
        <v>85</v>
      </c>
      <c r="D646" s="7">
        <f>VLOOKUP(A646,'1227-29耗量'!$A$1:$C$602,3,FALSE)</f>
        <v>5</v>
      </c>
      <c r="E646" s="7">
        <f t="shared" si="20"/>
        <v>80</v>
      </c>
      <c r="F646" s="7" t="str">
        <f t="shared" si="21"/>
        <v>錯誤</v>
      </c>
      <c r="G646" s="7">
        <f>VLOOKUP(A646,Sheet5!$A$2:$D$415,4,FALSE)</f>
        <v>28</v>
      </c>
      <c r="H646" s="7">
        <f>VLOOKUP(A646,Sheet5!$A$2:$D$415,3,FALSE)</f>
        <v>30</v>
      </c>
      <c r="I646" s="7" t="e">
        <f>VLOOKUP(A646,'1201-29周均耗用'!$A$1:$C$602,3,FALSE)</f>
        <v>#N/A</v>
      </c>
    </row>
    <row r="647" spans="1:9">
      <c r="A647" s="13" t="s">
        <v>1299</v>
      </c>
      <c r="B647" s="14" t="s">
        <v>1300</v>
      </c>
      <c r="C647" s="13">
        <v>0</v>
      </c>
      <c r="D647" s="7">
        <f>IFERROR(VLOOKUP(A647,'1227-29耗量'!$A$1:$C$602,3,FALSE),0)</f>
        <v>0</v>
      </c>
      <c r="E647" s="7">
        <f t="shared" si="20"/>
        <v>0</v>
      </c>
      <c r="F647" s="7" t="str">
        <f t="shared" si="21"/>
        <v>無資料</v>
      </c>
      <c r="G647" s="7" t="e">
        <f>VLOOKUP(A647,Sheet5!$A$2:$D$415,4,FALSE)</f>
        <v>#N/A</v>
      </c>
      <c r="H647" s="7" t="e">
        <f>VLOOKUP(A647,Sheet5!$A$2:$D$415,3,FALSE)</f>
        <v>#N/A</v>
      </c>
      <c r="I647" s="7" t="e">
        <f>VLOOKUP(A647,'1201-29周均耗用'!$A$1:$C$602,3,FALSE)</f>
        <v>#N/A</v>
      </c>
    </row>
    <row r="648" spans="1:9">
      <c r="A648" s="13" t="s">
        <v>1301</v>
      </c>
      <c r="B648" s="14" t="s">
        <v>1302</v>
      </c>
      <c r="C648" s="13">
        <v>833</v>
      </c>
      <c r="D648" s="7">
        <f>IFERROR(VLOOKUP(A648,'1227-29耗量'!$A$1:$C$602,3,FALSE),0)</f>
        <v>13</v>
      </c>
      <c r="E648" s="7">
        <f t="shared" si="20"/>
        <v>820</v>
      </c>
      <c r="F648" s="7" t="str">
        <f t="shared" si="21"/>
        <v>無資料</v>
      </c>
      <c r="G648" s="7" t="e">
        <f>VLOOKUP(A648,Sheet5!$A$2:$D$415,4,FALSE)</f>
        <v>#N/A</v>
      </c>
      <c r="H648" s="7" t="e">
        <f>VLOOKUP(A648,Sheet5!$A$2:$D$415,3,FALSE)</f>
        <v>#N/A</v>
      </c>
      <c r="I648" s="7">
        <f>VLOOKUP(A648,'1201-29周均耗用'!$A$1:$C$602,3,FALSE)</f>
        <v>154.8</v>
      </c>
    </row>
    <row r="649" spans="1:9">
      <c r="A649" s="13" t="s">
        <v>1303</v>
      </c>
      <c r="B649" s="14" t="s">
        <v>1304</v>
      </c>
      <c r="C649" s="13">
        <v>0</v>
      </c>
      <c r="D649" s="7">
        <f>IFERROR(VLOOKUP(A649,'1227-29耗量'!$A$1:$C$602,3,FALSE),0)</f>
        <v>0</v>
      </c>
      <c r="E649" s="7">
        <f t="shared" si="20"/>
        <v>0</v>
      </c>
      <c r="F649" s="7" t="str">
        <f t="shared" si="21"/>
        <v>無資料</v>
      </c>
      <c r="G649" s="7" t="e">
        <f>VLOOKUP(A649,Sheet5!$A$2:$D$415,4,FALSE)</f>
        <v>#N/A</v>
      </c>
      <c r="H649" s="7" t="e">
        <f>VLOOKUP(A649,Sheet5!$A$2:$D$415,3,FALSE)</f>
        <v>#N/A</v>
      </c>
      <c r="I649" s="7" t="e">
        <f>VLOOKUP(A649,'1201-29周均耗用'!$A$1:$C$602,3,FALSE)</f>
        <v>#N/A</v>
      </c>
    </row>
    <row r="650" spans="1:9">
      <c r="A650" s="13" t="s">
        <v>1305</v>
      </c>
      <c r="B650" s="14" t="s">
        <v>1306</v>
      </c>
      <c r="C650" s="13">
        <v>258</v>
      </c>
      <c r="D650" s="7">
        <f>IFERROR(VLOOKUP(A650,'1227-29耗量'!$A$1:$C$602,3,FALSE),0)</f>
        <v>0</v>
      </c>
      <c r="E650" s="7">
        <f t="shared" si="20"/>
        <v>258</v>
      </c>
      <c r="F650" s="7" t="str">
        <f t="shared" si="21"/>
        <v>錯誤</v>
      </c>
      <c r="G650" s="7">
        <f>VLOOKUP(A650,Sheet5!$A$2:$D$415,4,FALSE)</f>
        <v>171</v>
      </c>
      <c r="H650" s="7">
        <f>VLOOKUP(A650,Sheet5!$A$2:$D$415,3,FALSE)</f>
        <v>600</v>
      </c>
      <c r="I650" s="7">
        <f>VLOOKUP(A650,'1201-29周均耗用'!$A$1:$C$602,3,FALSE)</f>
        <v>19.8</v>
      </c>
    </row>
    <row r="651" spans="1:9">
      <c r="A651" s="13" t="s">
        <v>1307</v>
      </c>
      <c r="B651" s="14" t="s">
        <v>1308</v>
      </c>
      <c r="C651" s="13">
        <v>356</v>
      </c>
      <c r="D651" s="7">
        <f>VLOOKUP(A651,'1227-29耗量'!$A$1:$C$602,3,FALSE)</f>
        <v>3</v>
      </c>
      <c r="E651" s="7">
        <f t="shared" si="20"/>
        <v>353</v>
      </c>
      <c r="F651" s="7" t="str">
        <f t="shared" si="21"/>
        <v>錯誤</v>
      </c>
      <c r="G651" s="7">
        <f>VLOOKUP(A651,Sheet5!$A$2:$D$415,4,FALSE)</f>
        <v>74</v>
      </c>
      <c r="H651" s="7">
        <f>VLOOKUP(A651,Sheet5!$A$2:$D$415,3,FALSE)</f>
        <v>100</v>
      </c>
      <c r="I651" s="7">
        <f>VLOOKUP(A651,'1201-29周均耗用'!$A$1:$C$602,3,FALSE)</f>
        <v>2</v>
      </c>
    </row>
    <row r="652" spans="1:9">
      <c r="A652" s="13" t="s">
        <v>1309</v>
      </c>
      <c r="B652" s="14" t="s">
        <v>1310</v>
      </c>
      <c r="C652" s="13">
        <v>179</v>
      </c>
      <c r="D652" s="7">
        <f>IFERROR(VLOOKUP(A652,'1227-29耗量'!$A$1:$C$602,3,FALSE),0)</f>
        <v>2</v>
      </c>
      <c r="E652" s="7">
        <f t="shared" si="20"/>
        <v>177</v>
      </c>
      <c r="F652" s="7" t="str">
        <f t="shared" si="21"/>
        <v>無資料</v>
      </c>
      <c r="G652" s="7" t="e">
        <f>VLOOKUP(A652,Sheet5!$A$2:$D$415,4,FALSE)</f>
        <v>#N/A</v>
      </c>
      <c r="H652" s="7" t="e">
        <f>VLOOKUP(A652,Sheet5!$A$2:$D$415,3,FALSE)</f>
        <v>#N/A</v>
      </c>
      <c r="I652" s="7">
        <f>VLOOKUP(A652,'1201-29周均耗用'!$A$1:$C$602,3,FALSE)</f>
        <v>24</v>
      </c>
    </row>
    <row r="653" spans="1:9">
      <c r="A653" s="13" t="s">
        <v>1311</v>
      </c>
      <c r="B653" s="14" t="s">
        <v>1312</v>
      </c>
      <c r="C653" s="13">
        <v>951</v>
      </c>
      <c r="D653" s="7">
        <f>IFERROR(VLOOKUP(A653,'1227-29耗量'!$A$1:$C$602,3,FALSE),0)</f>
        <v>115</v>
      </c>
      <c r="E653" s="7">
        <f t="shared" si="20"/>
        <v>836</v>
      </c>
      <c r="F653" s="7" t="str">
        <f t="shared" si="21"/>
        <v>無資料</v>
      </c>
      <c r="G653" s="7" t="e">
        <f>VLOOKUP(A653,Sheet5!$A$2:$D$415,4,FALSE)</f>
        <v>#N/A</v>
      </c>
      <c r="H653" s="7" t="e">
        <f>VLOOKUP(A653,Sheet5!$A$2:$D$415,3,FALSE)</f>
        <v>#N/A</v>
      </c>
      <c r="I653" s="7">
        <f>VLOOKUP(A653,'1201-29周均耗用'!$A$1:$C$602,3,FALSE)</f>
        <v>212.5</v>
      </c>
    </row>
    <row r="654" spans="1:9">
      <c r="A654" s="13" t="s">
        <v>1313</v>
      </c>
      <c r="B654" s="14" t="s">
        <v>1314</v>
      </c>
      <c r="C654" s="13">
        <v>17</v>
      </c>
      <c r="D654" s="7">
        <f>IFERROR(VLOOKUP(A654,'1227-29耗量'!$A$1:$C$602,3,FALSE),0)</f>
        <v>6</v>
      </c>
      <c r="E654" s="7">
        <f t="shared" si="20"/>
        <v>11</v>
      </c>
      <c r="F654" s="7" t="str">
        <f t="shared" si="21"/>
        <v>無資料</v>
      </c>
      <c r="G654" s="7" t="e">
        <f>VLOOKUP(A654,Sheet5!$A$2:$D$415,4,FALSE)</f>
        <v>#N/A</v>
      </c>
      <c r="H654" s="7" t="e">
        <f>VLOOKUP(A654,Sheet5!$A$2:$D$415,3,FALSE)</f>
        <v>#N/A</v>
      </c>
      <c r="I654" s="7">
        <f>VLOOKUP(A654,'1201-29周均耗用'!$A$1:$C$602,3,FALSE)</f>
        <v>15.5</v>
      </c>
    </row>
    <row r="655" spans="1:9">
      <c r="A655" s="13" t="s">
        <v>1315</v>
      </c>
      <c r="B655" s="14" t="s">
        <v>1316</v>
      </c>
      <c r="C655" s="13">
        <v>1587</v>
      </c>
      <c r="D655" s="7">
        <f>VLOOKUP(A655,'1227-29耗量'!$A$1:$C$602,3,FALSE)</f>
        <v>134</v>
      </c>
      <c r="E655" s="7">
        <f t="shared" si="20"/>
        <v>1453</v>
      </c>
      <c r="F655" s="7" t="str">
        <f t="shared" si="21"/>
        <v>錯誤</v>
      </c>
      <c r="G655" s="7">
        <f>VLOOKUP(A655,Sheet5!$A$2:$D$415,4,FALSE)</f>
        <v>715</v>
      </c>
      <c r="H655" s="7">
        <f>VLOOKUP(A655,Sheet5!$A$2:$D$415,3,FALSE)</f>
        <v>1680</v>
      </c>
      <c r="I655" s="7">
        <f>VLOOKUP(A655,'1201-29周均耗用'!$A$1:$C$602,3,FALSE)</f>
        <v>658.8</v>
      </c>
    </row>
    <row r="656" spans="1:9">
      <c r="A656" s="13" t="s">
        <v>1317</v>
      </c>
      <c r="B656" s="14" t="s">
        <v>1318</v>
      </c>
      <c r="C656" s="13">
        <v>307</v>
      </c>
      <c r="D656" s="7">
        <f>VLOOKUP(A656,'1227-29耗量'!$A$1:$C$602,3,FALSE)</f>
        <v>18</v>
      </c>
      <c r="E656" s="7">
        <f t="shared" si="20"/>
        <v>289</v>
      </c>
      <c r="F656" s="7" t="str">
        <f t="shared" si="21"/>
        <v>錯誤</v>
      </c>
      <c r="G656" s="7">
        <f>VLOOKUP(A656,Sheet5!$A$2:$D$415,4,FALSE)</f>
        <v>268</v>
      </c>
      <c r="H656" s="7">
        <f>VLOOKUP(A656,Sheet5!$A$2:$D$415,3,FALSE)</f>
        <v>360</v>
      </c>
      <c r="I656" s="7">
        <f>VLOOKUP(A656,'1201-29周均耗用'!$A$1:$C$602,3,FALSE)</f>
        <v>135.8</v>
      </c>
    </row>
    <row r="657" spans="1:9">
      <c r="A657" s="13" t="s">
        <v>1319</v>
      </c>
      <c r="B657" s="14" t="s">
        <v>1320</v>
      </c>
      <c r="C657" s="13">
        <v>0</v>
      </c>
      <c r="D657" s="7">
        <f>IFERROR(VLOOKUP(A657,'1227-29耗量'!$A$1:$C$602,3,FALSE),0)</f>
        <v>0</v>
      </c>
      <c r="E657" s="7">
        <f t="shared" si="20"/>
        <v>0</v>
      </c>
      <c r="F657" s="7" t="str">
        <f t="shared" si="21"/>
        <v>無資料</v>
      </c>
      <c r="G657" s="7" t="e">
        <f>VLOOKUP(A657,Sheet5!$A$2:$D$415,4,FALSE)</f>
        <v>#N/A</v>
      </c>
      <c r="H657" s="7" t="e">
        <f>VLOOKUP(A657,Sheet5!$A$2:$D$415,3,FALSE)</f>
        <v>#N/A</v>
      </c>
      <c r="I657" s="7" t="e">
        <f>VLOOKUP(A657,'1201-29周均耗用'!$A$1:$C$602,3,FALSE)</f>
        <v>#N/A</v>
      </c>
    </row>
    <row r="658" spans="1:9">
      <c r="A658" s="13" t="s">
        <v>1321</v>
      </c>
      <c r="B658" s="14" t="s">
        <v>1322</v>
      </c>
      <c r="C658" s="13">
        <v>637</v>
      </c>
      <c r="D658" s="7">
        <f>VLOOKUP(A658,'1227-29耗量'!$A$1:$C$602,3,FALSE)</f>
        <v>67</v>
      </c>
      <c r="E658" s="7">
        <f t="shared" si="20"/>
        <v>570</v>
      </c>
      <c r="F658" s="7" t="str">
        <f t="shared" si="21"/>
        <v>錯誤</v>
      </c>
      <c r="G658" s="7">
        <f>VLOOKUP(A658,Sheet5!$A$2:$D$415,4,FALSE)</f>
        <v>333</v>
      </c>
      <c r="H658" s="7">
        <f>VLOOKUP(A658,Sheet5!$A$2:$D$415,3,FALSE)</f>
        <v>840</v>
      </c>
      <c r="I658" s="7">
        <f>VLOOKUP(A658,'1201-29周均耗用'!$A$1:$C$602,3,FALSE)</f>
        <v>301.8</v>
      </c>
    </row>
    <row r="659" spans="1:9">
      <c r="A659" s="13" t="s">
        <v>1323</v>
      </c>
      <c r="B659" s="14" t="s">
        <v>1324</v>
      </c>
      <c r="C659" s="13">
        <v>428</v>
      </c>
      <c r="D659" s="7">
        <f>VLOOKUP(A659,'1227-29耗量'!$A$1:$C$602,3,FALSE)</f>
        <v>22</v>
      </c>
      <c r="E659" s="7">
        <f t="shared" si="20"/>
        <v>406</v>
      </c>
      <c r="F659" s="7" t="str">
        <f t="shared" si="21"/>
        <v>錯誤</v>
      </c>
      <c r="G659" s="7">
        <f>VLOOKUP(A659,Sheet5!$A$2:$D$415,4,FALSE)</f>
        <v>166</v>
      </c>
      <c r="H659" s="7">
        <f>VLOOKUP(A659,Sheet5!$A$2:$D$415,3,FALSE)</f>
        <v>420</v>
      </c>
      <c r="I659" s="7">
        <f>VLOOKUP(A659,'1201-29周均耗用'!$A$1:$C$602,3,FALSE)</f>
        <v>138</v>
      </c>
    </row>
    <row r="660" spans="1:9">
      <c r="A660" s="13" t="s">
        <v>1325</v>
      </c>
      <c r="B660" s="14" t="s">
        <v>1326</v>
      </c>
      <c r="C660" s="13">
        <v>166</v>
      </c>
      <c r="D660" s="7">
        <f>VLOOKUP(A660,'1227-29耗量'!$A$1:$C$602,3,FALSE)</f>
        <v>10</v>
      </c>
      <c r="E660" s="7">
        <f t="shared" si="20"/>
        <v>156</v>
      </c>
      <c r="F660" s="7" t="str">
        <f t="shared" si="21"/>
        <v>錯誤</v>
      </c>
      <c r="G660" s="7">
        <f>VLOOKUP(A660,Sheet5!$A$2:$D$415,4,FALSE)</f>
        <v>44</v>
      </c>
      <c r="H660" s="7">
        <f>VLOOKUP(A660,Sheet5!$A$2:$D$415,3,FALSE)</f>
        <v>140</v>
      </c>
      <c r="I660" s="7">
        <f>VLOOKUP(A660,'1201-29周均耗用'!$A$1:$C$602,3,FALSE)</f>
        <v>52.2</v>
      </c>
    </row>
    <row r="661" spans="1:9">
      <c r="A661" s="13" t="s">
        <v>1327</v>
      </c>
      <c r="B661" s="14" t="s">
        <v>1328</v>
      </c>
      <c r="C661" s="13">
        <v>202</v>
      </c>
      <c r="D661" s="7">
        <f>VLOOKUP(A661,'1227-29耗量'!$A$1:$C$602,3,FALSE)</f>
        <v>14</v>
      </c>
      <c r="E661" s="7">
        <f t="shared" si="20"/>
        <v>188</v>
      </c>
      <c r="F661" s="7" t="str">
        <f t="shared" si="21"/>
        <v>錯誤</v>
      </c>
      <c r="G661" s="7">
        <f>VLOOKUP(A661,Sheet5!$A$2:$D$415,4,FALSE)</f>
        <v>12</v>
      </c>
      <c r="H661" s="7">
        <f>VLOOKUP(A661,Sheet5!$A$2:$D$415,3,FALSE)</f>
        <v>280</v>
      </c>
      <c r="I661" s="7">
        <f>VLOOKUP(A661,'1201-29周均耗用'!$A$1:$C$602,3,FALSE)</f>
        <v>91.5</v>
      </c>
    </row>
    <row r="662" spans="1:9">
      <c r="A662" s="13" t="s">
        <v>1329</v>
      </c>
      <c r="B662" s="14" t="s">
        <v>1330</v>
      </c>
      <c r="C662" s="13">
        <v>19</v>
      </c>
      <c r="D662" s="7">
        <f>IFERROR(VLOOKUP(A662,'1227-29耗量'!$A$1:$C$602,3,FALSE),0)</f>
        <v>0</v>
      </c>
      <c r="E662" s="7">
        <f t="shared" si="20"/>
        <v>19</v>
      </c>
      <c r="F662" s="7" t="str">
        <f t="shared" si="21"/>
        <v>無資料</v>
      </c>
      <c r="G662" s="7" t="e">
        <f>VLOOKUP(A662,Sheet5!$A$2:$D$415,4,FALSE)</f>
        <v>#N/A</v>
      </c>
      <c r="H662" s="7" t="e">
        <f>VLOOKUP(A662,Sheet5!$A$2:$D$415,3,FALSE)</f>
        <v>#N/A</v>
      </c>
      <c r="I662" s="7">
        <f>VLOOKUP(A662,'1201-29周均耗用'!$A$1:$C$602,3,FALSE)</f>
        <v>10.5</v>
      </c>
    </row>
    <row r="663" spans="1:9">
      <c r="A663" s="13" t="s">
        <v>1331</v>
      </c>
      <c r="B663" s="14" t="s">
        <v>1332</v>
      </c>
      <c r="C663" s="13">
        <v>53</v>
      </c>
      <c r="D663" s="7">
        <f>IFERROR(VLOOKUP(A663,'1227-29耗量'!$A$1:$C$602,3,FALSE),0)</f>
        <v>0</v>
      </c>
      <c r="E663" s="7">
        <f t="shared" si="20"/>
        <v>53</v>
      </c>
      <c r="F663" s="7" t="str">
        <f t="shared" si="21"/>
        <v>無資料</v>
      </c>
      <c r="G663" s="7" t="e">
        <f>VLOOKUP(A663,Sheet5!$A$2:$D$415,4,FALSE)</f>
        <v>#N/A</v>
      </c>
      <c r="H663" s="7" t="e">
        <f>VLOOKUP(A663,Sheet5!$A$2:$D$415,3,FALSE)</f>
        <v>#N/A</v>
      </c>
      <c r="I663" s="7" t="e">
        <f>VLOOKUP(A663,'1201-29周均耗用'!$A$1:$C$602,3,FALSE)</f>
        <v>#N/A</v>
      </c>
    </row>
    <row r="664" spans="1:9">
      <c r="A664" s="13" t="s">
        <v>1333</v>
      </c>
      <c r="B664" s="14" t="s">
        <v>1334</v>
      </c>
      <c r="C664" s="13">
        <v>240</v>
      </c>
      <c r="D664" s="7">
        <f>VLOOKUP(A664,'1227-29耗量'!$A$1:$C$602,3,FALSE)</f>
        <v>15</v>
      </c>
      <c r="E664" s="7">
        <f t="shared" si="20"/>
        <v>225</v>
      </c>
      <c r="F664" s="7" t="str">
        <f t="shared" si="21"/>
        <v>錯誤</v>
      </c>
      <c r="G664" s="7">
        <f>VLOOKUP(A664,Sheet5!$A$2:$D$415,4,FALSE)</f>
        <v>194</v>
      </c>
      <c r="H664" s="7">
        <f>VLOOKUP(A664,Sheet5!$A$2:$D$415,3,FALSE)</f>
        <v>200</v>
      </c>
      <c r="I664" s="7">
        <f>VLOOKUP(A664,'1201-29周均耗用'!$A$1:$C$602,3,FALSE)</f>
        <v>52.8</v>
      </c>
    </row>
    <row r="665" spans="1:9">
      <c r="A665" s="13" t="s">
        <v>1335</v>
      </c>
      <c r="B665" s="14" t="s">
        <v>1336</v>
      </c>
      <c r="C665" s="13">
        <v>62</v>
      </c>
      <c r="D665" s="7">
        <f>IFERROR(VLOOKUP(A665,'1227-29耗量'!$A$1:$C$602,3,FALSE),0)</f>
        <v>0</v>
      </c>
      <c r="E665" s="7">
        <f t="shared" si="20"/>
        <v>62</v>
      </c>
      <c r="F665" s="7" t="str">
        <f t="shared" si="21"/>
        <v>無資料</v>
      </c>
      <c r="G665" s="7" t="e">
        <f>VLOOKUP(A665,Sheet5!$A$2:$D$415,4,FALSE)</f>
        <v>#N/A</v>
      </c>
      <c r="H665" s="7" t="e">
        <f>VLOOKUP(A665,Sheet5!$A$2:$D$415,3,FALSE)</f>
        <v>#N/A</v>
      </c>
      <c r="I665" s="7" t="e">
        <f>VLOOKUP(A665,'1201-29周均耗用'!$A$1:$C$602,3,FALSE)</f>
        <v>#N/A</v>
      </c>
    </row>
    <row r="666" spans="1:9">
      <c r="A666" s="13" t="s">
        <v>1337</v>
      </c>
      <c r="B666" s="14" t="s">
        <v>1338</v>
      </c>
      <c r="C666" s="13">
        <v>33</v>
      </c>
      <c r="D666" s="7">
        <f>IFERROR(VLOOKUP(A666,'1227-29耗量'!$A$1:$C$602,3,FALSE),0)</f>
        <v>0</v>
      </c>
      <c r="E666" s="7">
        <f t="shared" si="20"/>
        <v>33</v>
      </c>
      <c r="F666" s="7" t="str">
        <f t="shared" si="21"/>
        <v>無資料</v>
      </c>
      <c r="G666" s="7" t="e">
        <f>VLOOKUP(A666,Sheet5!$A$2:$D$415,4,FALSE)</f>
        <v>#N/A</v>
      </c>
      <c r="H666" s="7" t="e">
        <f>VLOOKUP(A666,Sheet5!$A$2:$D$415,3,FALSE)</f>
        <v>#N/A</v>
      </c>
      <c r="I666" s="7" t="e">
        <f>VLOOKUP(A666,'1201-29周均耗用'!$A$1:$C$602,3,FALSE)</f>
        <v>#N/A</v>
      </c>
    </row>
    <row r="667" spans="1:9">
      <c r="A667" s="13" t="s">
        <v>1339</v>
      </c>
      <c r="B667" s="14" t="s">
        <v>1340</v>
      </c>
      <c r="C667" s="13">
        <v>0</v>
      </c>
      <c r="D667" s="7">
        <f>IFERROR(VLOOKUP(A667,'1227-29耗量'!$A$1:$C$602,3,FALSE),0)</f>
        <v>0</v>
      </c>
      <c r="E667" s="7">
        <f t="shared" si="20"/>
        <v>0</v>
      </c>
      <c r="F667" s="7" t="str">
        <f t="shared" si="21"/>
        <v>無資料</v>
      </c>
      <c r="G667" s="7" t="e">
        <f>VLOOKUP(A667,Sheet5!$A$2:$D$415,4,FALSE)</f>
        <v>#N/A</v>
      </c>
      <c r="H667" s="7" t="e">
        <f>VLOOKUP(A667,Sheet5!$A$2:$D$415,3,FALSE)</f>
        <v>#N/A</v>
      </c>
      <c r="I667" s="7">
        <f>VLOOKUP(A667,'1201-29周均耗用'!$A$1:$C$602,3,FALSE)</f>
        <v>1.5</v>
      </c>
    </row>
    <row r="668" spans="1:9">
      <c r="A668" s="13" t="s">
        <v>1341</v>
      </c>
      <c r="B668" s="14" t="s">
        <v>1342</v>
      </c>
      <c r="C668" s="13">
        <v>441</v>
      </c>
      <c r="D668" s="7">
        <f>IFERROR(VLOOKUP(A668,'1227-29耗量'!$A$1:$C$602,3,FALSE),0)</f>
        <v>87</v>
      </c>
      <c r="E668" s="7">
        <f t="shared" si="20"/>
        <v>354</v>
      </c>
      <c r="F668" s="7" t="str">
        <f t="shared" si="21"/>
        <v>無資料</v>
      </c>
      <c r="G668" s="7" t="e">
        <f>VLOOKUP(A668,Sheet5!$A$2:$D$415,4,FALSE)</f>
        <v>#N/A</v>
      </c>
      <c r="H668" s="7" t="e">
        <f>VLOOKUP(A668,Sheet5!$A$2:$D$415,3,FALSE)</f>
        <v>#N/A</v>
      </c>
      <c r="I668" s="7">
        <f>VLOOKUP(A668,'1201-29周均耗用'!$A$1:$C$602,3,FALSE)</f>
        <v>126.8</v>
      </c>
    </row>
    <row r="669" spans="1:9">
      <c r="A669" s="13" t="s">
        <v>1343</v>
      </c>
      <c r="B669" s="14" t="s">
        <v>1344</v>
      </c>
      <c r="C669" s="13">
        <v>0</v>
      </c>
      <c r="D669" s="7">
        <f>IFERROR(VLOOKUP(A669,'1227-29耗量'!$A$1:$C$602,3,FALSE),0)</f>
        <v>16</v>
      </c>
      <c r="E669" s="7">
        <f t="shared" si="20"/>
        <v>-16</v>
      </c>
      <c r="F669" s="7" t="str">
        <f t="shared" si="21"/>
        <v>無資料</v>
      </c>
      <c r="G669" s="7" t="e">
        <f>VLOOKUP(A669,Sheet5!$A$2:$D$415,4,FALSE)</f>
        <v>#N/A</v>
      </c>
      <c r="H669" s="7" t="e">
        <f>VLOOKUP(A669,Sheet5!$A$2:$D$415,3,FALSE)</f>
        <v>#N/A</v>
      </c>
      <c r="I669" s="7">
        <f>VLOOKUP(A669,'1201-29周均耗用'!$A$1:$C$602,3,FALSE)</f>
        <v>4</v>
      </c>
    </row>
    <row r="670" spans="1:9">
      <c r="A670" s="13" t="s">
        <v>1345</v>
      </c>
      <c r="B670" s="14" t="s">
        <v>1346</v>
      </c>
      <c r="C670" s="13">
        <v>21</v>
      </c>
      <c r="D670" s="7">
        <f>VLOOKUP(A670,'1227-29耗量'!$A$1:$C$602,3,FALSE)</f>
        <v>1</v>
      </c>
      <c r="E670" s="7">
        <f t="shared" si="20"/>
        <v>20</v>
      </c>
      <c r="F670" s="7" t="str">
        <f t="shared" si="21"/>
        <v>錯誤</v>
      </c>
      <c r="G670" s="7">
        <f>VLOOKUP(A670,Sheet5!$A$2:$D$415,4,FALSE)</f>
        <v>0</v>
      </c>
      <c r="H670" s="7">
        <f>VLOOKUP(A670,Sheet5!$A$2:$D$415,3,FALSE)</f>
        <v>21</v>
      </c>
      <c r="I670" s="7">
        <f>VLOOKUP(A670,'1201-29周均耗用'!$A$1:$C$602,3,FALSE)</f>
        <v>2.5</v>
      </c>
    </row>
    <row r="671" spans="1:9">
      <c r="A671" s="13" t="s">
        <v>1347</v>
      </c>
      <c r="B671" s="14" t="s">
        <v>1348</v>
      </c>
      <c r="C671" s="13">
        <v>882</v>
      </c>
      <c r="D671" s="7">
        <f>IFERROR(VLOOKUP(A671,'1227-29耗量'!$A$1:$C$602,3,FALSE),0)</f>
        <v>22</v>
      </c>
      <c r="E671" s="7">
        <f t="shared" si="20"/>
        <v>860</v>
      </c>
      <c r="F671" s="7" t="str">
        <f t="shared" si="21"/>
        <v>無資料</v>
      </c>
      <c r="G671" s="7" t="e">
        <f>VLOOKUP(A671,Sheet5!$A$2:$D$415,4,FALSE)</f>
        <v>#N/A</v>
      </c>
      <c r="H671" s="7" t="e">
        <f>VLOOKUP(A671,Sheet5!$A$2:$D$415,3,FALSE)</f>
        <v>#N/A</v>
      </c>
      <c r="I671" s="7">
        <f>VLOOKUP(A671,'1201-29周均耗用'!$A$1:$C$602,3,FALSE)</f>
        <v>85</v>
      </c>
    </row>
    <row r="672" spans="1:9">
      <c r="A672" s="13" t="s">
        <v>1349</v>
      </c>
      <c r="B672" s="14" t="s">
        <v>1350</v>
      </c>
      <c r="C672" s="13">
        <v>2275</v>
      </c>
      <c r="D672" s="7">
        <f>VLOOKUP(A672,'1227-29耗量'!$A$1:$C$602,3,FALSE)</f>
        <v>265</v>
      </c>
      <c r="E672" s="7">
        <f t="shared" si="20"/>
        <v>2010</v>
      </c>
      <c r="F672" s="7" t="str">
        <f t="shared" si="21"/>
        <v>錯誤</v>
      </c>
      <c r="G672" s="7">
        <f>VLOOKUP(A672,Sheet5!$A$2:$D$415,4,FALSE)</f>
        <v>1911</v>
      </c>
      <c r="H672" s="7">
        <f>VLOOKUP(A672,Sheet5!$A$2:$D$415,3,FALSE)</f>
        <v>5000</v>
      </c>
      <c r="I672" s="7">
        <f>VLOOKUP(A672,'1201-29周均耗用'!$A$1:$C$602,3,FALSE)</f>
        <v>1293.8</v>
      </c>
    </row>
    <row r="673" spans="1:9">
      <c r="A673" s="13" t="s">
        <v>1351</v>
      </c>
      <c r="B673" s="14" t="s">
        <v>1352</v>
      </c>
      <c r="C673" s="13">
        <v>0</v>
      </c>
      <c r="D673" s="7">
        <f>IFERROR(VLOOKUP(A673,'1227-29耗量'!$A$1:$C$602,3,FALSE),0)</f>
        <v>0</v>
      </c>
      <c r="E673" s="7">
        <f t="shared" si="20"/>
        <v>0</v>
      </c>
      <c r="F673" s="7" t="str">
        <f t="shared" si="21"/>
        <v>無資料</v>
      </c>
      <c r="G673" s="7" t="e">
        <f>VLOOKUP(A673,Sheet5!$A$2:$D$415,4,FALSE)</f>
        <v>#N/A</v>
      </c>
      <c r="H673" s="7" t="e">
        <f>VLOOKUP(A673,Sheet5!$A$2:$D$415,3,FALSE)</f>
        <v>#N/A</v>
      </c>
      <c r="I673" s="7" t="e">
        <f>VLOOKUP(A673,'1201-29周均耗用'!$A$1:$C$602,3,FALSE)</f>
        <v>#N/A</v>
      </c>
    </row>
    <row r="674" spans="1:9">
      <c r="A674" s="13" t="s">
        <v>1353</v>
      </c>
      <c r="B674" s="14" t="s">
        <v>1354</v>
      </c>
      <c r="C674" s="13">
        <v>0</v>
      </c>
      <c r="D674" s="7">
        <f>IFERROR(VLOOKUP(A674,'1227-29耗量'!$A$1:$C$602,3,FALSE),0)</f>
        <v>0</v>
      </c>
      <c r="E674" s="7">
        <f t="shared" si="20"/>
        <v>0</v>
      </c>
      <c r="F674" s="7" t="str">
        <f t="shared" si="21"/>
        <v>無資料</v>
      </c>
      <c r="G674" s="7" t="e">
        <f>VLOOKUP(A674,Sheet5!$A$2:$D$415,4,FALSE)</f>
        <v>#N/A</v>
      </c>
      <c r="H674" s="7" t="e">
        <f>VLOOKUP(A674,Sheet5!$A$2:$D$415,3,FALSE)</f>
        <v>#N/A</v>
      </c>
      <c r="I674" s="7" t="e">
        <f>VLOOKUP(A674,'1201-29周均耗用'!$A$1:$C$602,3,FALSE)</f>
        <v>#N/A</v>
      </c>
    </row>
    <row r="675" spans="1:9">
      <c r="A675" s="13" t="s">
        <v>1355</v>
      </c>
      <c r="B675" s="14" t="s">
        <v>1356</v>
      </c>
      <c r="C675" s="13">
        <v>0</v>
      </c>
      <c r="D675" s="7">
        <f>IFERROR(VLOOKUP(A675,'1227-29耗量'!$A$1:$C$602,3,FALSE),0)</f>
        <v>0</v>
      </c>
      <c r="E675" s="7">
        <f t="shared" si="20"/>
        <v>0</v>
      </c>
      <c r="F675" s="7" t="str">
        <f t="shared" si="21"/>
        <v>無資料</v>
      </c>
      <c r="G675" s="7" t="e">
        <f>VLOOKUP(A675,Sheet5!$A$2:$D$415,4,FALSE)</f>
        <v>#N/A</v>
      </c>
      <c r="H675" s="7" t="e">
        <f>VLOOKUP(A675,Sheet5!$A$2:$D$415,3,FALSE)</f>
        <v>#N/A</v>
      </c>
      <c r="I675" s="7" t="e">
        <f>VLOOKUP(A675,'1201-29周均耗用'!$A$1:$C$602,3,FALSE)</f>
        <v>#N/A</v>
      </c>
    </row>
    <row r="676" spans="1:9">
      <c r="A676" s="13" t="s">
        <v>1357</v>
      </c>
      <c r="B676" s="14" t="s">
        <v>1358</v>
      </c>
      <c r="C676" s="13">
        <v>8</v>
      </c>
      <c r="D676" s="7">
        <f>IFERROR(VLOOKUP(A676,'1227-29耗量'!$A$1:$C$602,3,FALSE),0)</f>
        <v>0</v>
      </c>
      <c r="E676" s="7">
        <f t="shared" si="20"/>
        <v>8</v>
      </c>
      <c r="F676" s="7" t="str">
        <f t="shared" si="21"/>
        <v>錯誤</v>
      </c>
      <c r="G676" s="7">
        <f>VLOOKUP(A676,Sheet5!$A$2:$D$415,4,FALSE)</f>
        <v>4</v>
      </c>
      <c r="H676" s="7">
        <f>VLOOKUP(A676,Sheet5!$A$2:$D$415,3,FALSE)</f>
        <v>5</v>
      </c>
      <c r="I676" s="7">
        <f>VLOOKUP(A676,'1201-29周均耗用'!$A$1:$C$602,3,FALSE)</f>
        <v>1.8</v>
      </c>
    </row>
    <row r="677" spans="1:9">
      <c r="A677" s="13" t="s">
        <v>1359</v>
      </c>
      <c r="B677" s="14" t="s">
        <v>1360</v>
      </c>
      <c r="C677" s="13">
        <v>64</v>
      </c>
      <c r="D677" s="7">
        <f>IFERROR(VLOOKUP(A677,'1227-29耗量'!$A$1:$C$602,3,FALSE),0)</f>
        <v>0</v>
      </c>
      <c r="E677" s="7">
        <f t="shared" si="20"/>
        <v>64</v>
      </c>
      <c r="F677" s="7" t="str">
        <f t="shared" si="21"/>
        <v>錯誤</v>
      </c>
      <c r="G677" s="7">
        <f>VLOOKUP(A677,Sheet5!$A$2:$D$415,4,FALSE)</f>
        <v>8</v>
      </c>
      <c r="H677" s="7">
        <f>VLOOKUP(A677,Sheet5!$A$2:$D$415,3,FALSE)</f>
        <v>25</v>
      </c>
      <c r="I677" s="7">
        <f>VLOOKUP(A677,'1201-29周均耗用'!$A$1:$C$602,3,FALSE)</f>
        <v>0.5</v>
      </c>
    </row>
    <row r="678" spans="1:9">
      <c r="A678" s="13" t="s">
        <v>1361</v>
      </c>
      <c r="B678" s="14" t="s">
        <v>1362</v>
      </c>
      <c r="C678" s="13">
        <v>120</v>
      </c>
      <c r="D678" s="7">
        <f>IFERROR(VLOOKUP(A678,'1227-29耗量'!$A$1:$C$602,3,FALSE),0)</f>
        <v>0</v>
      </c>
      <c r="E678" s="7">
        <f t="shared" si="20"/>
        <v>120</v>
      </c>
      <c r="F678" s="7" t="str">
        <f t="shared" si="21"/>
        <v>錯誤</v>
      </c>
      <c r="G678" s="7">
        <f>VLOOKUP(A678,Sheet5!$A$2:$D$415,4,FALSE)</f>
        <v>122</v>
      </c>
      <c r="H678" s="7">
        <f>VLOOKUP(A678,Sheet5!$A$2:$D$415,3,FALSE)</f>
        <v>56</v>
      </c>
      <c r="I678" s="7">
        <f>VLOOKUP(A678,'1201-29周均耗用'!$A$1:$C$602,3,FALSE)</f>
        <v>63.5</v>
      </c>
    </row>
    <row r="679" spans="1:9">
      <c r="A679" s="13" t="s">
        <v>1363</v>
      </c>
      <c r="B679" s="14" t="s">
        <v>1364</v>
      </c>
      <c r="C679" s="13">
        <v>733</v>
      </c>
      <c r="D679" s="7">
        <f>VLOOKUP(A679,'1227-29耗量'!$A$1:$C$602,3,FALSE)</f>
        <v>96</v>
      </c>
      <c r="E679" s="7">
        <f t="shared" si="20"/>
        <v>637</v>
      </c>
      <c r="F679" s="7" t="str">
        <f t="shared" si="21"/>
        <v>錯誤</v>
      </c>
      <c r="G679" s="7">
        <f>VLOOKUP(A679,Sheet5!$A$2:$D$415,4,FALSE)</f>
        <v>373</v>
      </c>
      <c r="H679" s="7">
        <f>VLOOKUP(A679,Sheet5!$A$2:$D$415,3,FALSE)</f>
        <v>1680</v>
      </c>
      <c r="I679" s="7">
        <f>VLOOKUP(A679,'1201-29周均耗用'!$A$1:$C$602,3,FALSE)</f>
        <v>443.8</v>
      </c>
    </row>
    <row r="680" spans="1:9">
      <c r="A680" s="13" t="s">
        <v>1365</v>
      </c>
      <c r="B680" s="14" t="s">
        <v>1366</v>
      </c>
      <c r="C680" s="13">
        <v>175</v>
      </c>
      <c r="D680" s="7">
        <f>IFERROR(VLOOKUP(A680,'1227-29耗量'!$A$1:$C$602,3,FALSE),0)</f>
        <v>2</v>
      </c>
      <c r="E680" s="7">
        <f t="shared" si="20"/>
        <v>173</v>
      </c>
      <c r="F680" s="7" t="str">
        <f t="shared" si="21"/>
        <v>無資料</v>
      </c>
      <c r="G680" s="7" t="e">
        <f>VLOOKUP(A680,Sheet5!$A$2:$D$415,4,FALSE)</f>
        <v>#N/A</v>
      </c>
      <c r="H680" s="7" t="e">
        <f>VLOOKUP(A680,Sheet5!$A$2:$D$415,3,FALSE)</f>
        <v>#N/A</v>
      </c>
      <c r="I680" s="7">
        <f>VLOOKUP(A680,'1201-29周均耗用'!$A$1:$C$602,3,FALSE)</f>
        <v>37.2</v>
      </c>
    </row>
    <row r="681" spans="1:9">
      <c r="A681" s="13" t="s">
        <v>1367</v>
      </c>
      <c r="B681" s="14" t="s">
        <v>1368</v>
      </c>
      <c r="C681" s="13">
        <v>235</v>
      </c>
      <c r="D681" s="7">
        <f>IFERROR(VLOOKUP(A681,'1227-29耗量'!$A$1:$C$602,3,FALSE),0)</f>
        <v>3</v>
      </c>
      <c r="E681" s="7">
        <f t="shared" si="20"/>
        <v>232</v>
      </c>
      <c r="F681" s="7" t="str">
        <f t="shared" si="21"/>
        <v>無資料</v>
      </c>
      <c r="G681" s="7" t="e">
        <f>VLOOKUP(A681,Sheet5!$A$2:$D$415,4,FALSE)</f>
        <v>#N/A</v>
      </c>
      <c r="H681" s="7" t="e">
        <f>VLOOKUP(A681,Sheet5!$A$2:$D$415,3,FALSE)</f>
        <v>#N/A</v>
      </c>
      <c r="I681" s="7">
        <f>VLOOKUP(A681,'1201-29周均耗用'!$A$1:$C$602,3,FALSE)</f>
        <v>14.5</v>
      </c>
    </row>
    <row r="682" spans="1:9">
      <c r="A682" s="13" t="s">
        <v>1369</v>
      </c>
      <c r="B682" s="14" t="s">
        <v>1370</v>
      </c>
      <c r="C682" s="13">
        <v>203</v>
      </c>
      <c r="D682" s="7">
        <f>VLOOKUP(A682,'1227-29耗量'!$A$1:$C$602,3,FALSE)</f>
        <v>45</v>
      </c>
      <c r="E682" s="7">
        <f t="shared" si="20"/>
        <v>158</v>
      </c>
      <c r="F682" s="7" t="str">
        <f t="shared" si="21"/>
        <v>錯誤</v>
      </c>
      <c r="G682" s="7">
        <f>VLOOKUP(A682,Sheet5!$A$2:$D$415,4,FALSE)</f>
        <v>237</v>
      </c>
      <c r="H682" s="7">
        <f>VLOOKUP(A682,Sheet5!$A$2:$D$415,3,FALSE)</f>
        <v>200</v>
      </c>
      <c r="I682" s="7">
        <f>VLOOKUP(A682,'1201-29周均耗用'!$A$1:$C$602,3,FALSE)</f>
        <v>173</v>
      </c>
    </row>
    <row r="683" spans="1:9">
      <c r="A683" s="13" t="s">
        <v>1371</v>
      </c>
      <c r="B683" s="14" t="s">
        <v>1372</v>
      </c>
      <c r="C683" s="13">
        <v>270</v>
      </c>
      <c r="D683" s="7">
        <f>VLOOKUP(A683,'1227-29耗量'!$A$1:$C$602,3,FALSE)</f>
        <v>2</v>
      </c>
      <c r="E683" s="7">
        <f t="shared" si="20"/>
        <v>268</v>
      </c>
      <c r="F683" s="7" t="str">
        <f t="shared" si="21"/>
        <v>錯誤</v>
      </c>
      <c r="G683" s="7">
        <f>VLOOKUP(A683,Sheet5!$A$2:$D$415,4,FALSE)</f>
        <v>216</v>
      </c>
      <c r="H683" s="7">
        <f>VLOOKUP(A683,Sheet5!$A$2:$D$415,3,FALSE)</f>
        <v>120</v>
      </c>
      <c r="I683" s="7">
        <f>VLOOKUP(A683,'1201-29周均耗用'!$A$1:$C$602,3,FALSE)</f>
        <v>22.8</v>
      </c>
    </row>
    <row r="684" spans="1:9">
      <c r="A684" s="13" t="s">
        <v>1373</v>
      </c>
      <c r="B684" s="14" t="s">
        <v>1374</v>
      </c>
      <c r="C684" s="13">
        <v>9578</v>
      </c>
      <c r="D684" s="7">
        <f>IFERROR(VLOOKUP(A684,'1227-29耗量'!$A$1:$C$602,3,FALSE),0)</f>
        <v>363</v>
      </c>
      <c r="E684" s="7">
        <f t="shared" si="20"/>
        <v>9215</v>
      </c>
      <c r="F684" s="7" t="str">
        <f t="shared" si="21"/>
        <v>無資料</v>
      </c>
      <c r="G684" s="7" t="e">
        <f>VLOOKUP(A684,Sheet5!$A$2:$D$415,4,FALSE)</f>
        <v>#N/A</v>
      </c>
      <c r="H684" s="7" t="e">
        <f>VLOOKUP(A684,Sheet5!$A$2:$D$415,3,FALSE)</f>
        <v>#N/A</v>
      </c>
      <c r="I684" s="7">
        <f>VLOOKUP(A684,'1201-29周均耗用'!$A$1:$C$602,3,FALSE)</f>
        <v>2026</v>
      </c>
    </row>
    <row r="685" spans="1:9">
      <c r="A685" s="13" t="s">
        <v>1375</v>
      </c>
      <c r="B685" s="14" t="s">
        <v>1376</v>
      </c>
      <c r="C685" s="13">
        <v>36</v>
      </c>
      <c r="D685" s="7">
        <f>VLOOKUP(A685,'1227-29耗量'!$A$1:$C$602,3,FALSE)</f>
        <v>1</v>
      </c>
      <c r="E685" s="7">
        <f t="shared" si="20"/>
        <v>35</v>
      </c>
      <c r="F685" s="7" t="str">
        <f t="shared" si="21"/>
        <v>錯誤</v>
      </c>
      <c r="G685" s="7">
        <f>VLOOKUP(A685,Sheet5!$A$2:$D$415,4,FALSE)</f>
        <v>44</v>
      </c>
      <c r="H685" s="7">
        <f>VLOOKUP(A685,Sheet5!$A$2:$D$415,3,FALSE)</f>
        <v>144</v>
      </c>
      <c r="I685" s="7">
        <f>VLOOKUP(A685,'1201-29周均耗用'!$A$1:$C$602,3,FALSE)</f>
        <v>8.2</v>
      </c>
    </row>
    <row r="686" spans="1:9">
      <c r="A686" s="13" t="s">
        <v>1377</v>
      </c>
      <c r="B686" s="14" t="s">
        <v>1378</v>
      </c>
      <c r="C686" s="13">
        <v>95</v>
      </c>
      <c r="D686" s="7">
        <f>IFERROR(VLOOKUP(A686,'1227-29耗量'!$A$1:$C$602,3,FALSE),0)</f>
        <v>8</v>
      </c>
      <c r="E686" s="7">
        <f t="shared" si="20"/>
        <v>87</v>
      </c>
      <c r="F686" s="7" t="str">
        <f t="shared" si="21"/>
        <v>無資料</v>
      </c>
      <c r="G686" s="7" t="e">
        <f>VLOOKUP(A686,Sheet5!$A$2:$D$415,4,FALSE)</f>
        <v>#N/A</v>
      </c>
      <c r="H686" s="7" t="e">
        <f>VLOOKUP(A686,Sheet5!$A$2:$D$415,3,FALSE)</f>
        <v>#N/A</v>
      </c>
      <c r="I686" s="7">
        <f>VLOOKUP(A686,'1201-29周均耗用'!$A$1:$C$602,3,FALSE)</f>
        <v>22.8</v>
      </c>
    </row>
    <row r="687" spans="1:9">
      <c r="A687" s="13" t="s">
        <v>1379</v>
      </c>
      <c r="B687" s="14" t="s">
        <v>1380</v>
      </c>
      <c r="C687" s="13">
        <v>0</v>
      </c>
      <c r="D687" s="7">
        <f>IFERROR(VLOOKUP(A687,'1227-29耗量'!$A$1:$C$602,3,FALSE),0)</f>
        <v>0</v>
      </c>
      <c r="E687" s="7">
        <f t="shared" si="20"/>
        <v>0</v>
      </c>
      <c r="F687" s="7" t="str">
        <f t="shared" si="21"/>
        <v>無資料</v>
      </c>
      <c r="G687" s="7" t="e">
        <f>VLOOKUP(A687,Sheet5!$A$2:$D$415,4,FALSE)</f>
        <v>#N/A</v>
      </c>
      <c r="H687" s="7" t="e">
        <f>VLOOKUP(A687,Sheet5!$A$2:$D$415,3,FALSE)</f>
        <v>#N/A</v>
      </c>
      <c r="I687" s="7" t="e">
        <f>VLOOKUP(A687,'1201-29周均耗用'!$A$1:$C$602,3,FALSE)</f>
        <v>#N/A</v>
      </c>
    </row>
    <row r="688" spans="1:9">
      <c r="A688" s="13" t="s">
        <v>1381</v>
      </c>
      <c r="B688" s="14" t="s">
        <v>1382</v>
      </c>
      <c r="C688" s="13">
        <v>0</v>
      </c>
      <c r="D688" s="7">
        <f>IFERROR(VLOOKUP(A688,'1227-29耗量'!$A$1:$C$602,3,FALSE),0)</f>
        <v>0</v>
      </c>
      <c r="E688" s="7">
        <f t="shared" si="20"/>
        <v>0</v>
      </c>
      <c r="F688" s="7" t="str">
        <f t="shared" si="21"/>
        <v>無資料</v>
      </c>
      <c r="G688" s="7" t="e">
        <f>VLOOKUP(A688,Sheet5!$A$2:$D$415,4,FALSE)</f>
        <v>#N/A</v>
      </c>
      <c r="H688" s="7" t="e">
        <f>VLOOKUP(A688,Sheet5!$A$2:$D$415,3,FALSE)</f>
        <v>#N/A</v>
      </c>
      <c r="I688" s="7">
        <f>VLOOKUP(A688,'1201-29周均耗用'!$A$1:$C$602,3,FALSE)</f>
        <v>0.8</v>
      </c>
    </row>
    <row r="689" spans="1:9">
      <c r="A689" s="13" t="s">
        <v>1383</v>
      </c>
      <c r="B689" s="14" t="s">
        <v>1384</v>
      </c>
      <c r="C689" s="13">
        <v>0</v>
      </c>
      <c r="D689" s="7">
        <f>IFERROR(VLOOKUP(A689,'1227-29耗量'!$A$1:$C$602,3,FALSE),0)</f>
        <v>0</v>
      </c>
      <c r="E689" s="7">
        <f t="shared" si="20"/>
        <v>0</v>
      </c>
      <c r="F689" s="7" t="str">
        <f t="shared" si="21"/>
        <v>無資料</v>
      </c>
      <c r="G689" s="7" t="e">
        <f>VLOOKUP(A689,Sheet5!$A$2:$D$415,4,FALSE)</f>
        <v>#N/A</v>
      </c>
      <c r="H689" s="7" t="e">
        <f>VLOOKUP(A689,Sheet5!$A$2:$D$415,3,FALSE)</f>
        <v>#N/A</v>
      </c>
      <c r="I689" s="7" t="e">
        <f>VLOOKUP(A689,'1201-29周均耗用'!$A$1:$C$602,3,FALSE)</f>
        <v>#N/A</v>
      </c>
    </row>
    <row r="690" spans="1:9">
      <c r="A690" s="13" t="s">
        <v>1385</v>
      </c>
      <c r="B690" s="14" t="s">
        <v>1386</v>
      </c>
      <c r="C690" s="13">
        <v>363</v>
      </c>
      <c r="D690" s="7">
        <f>IFERROR(VLOOKUP(A690,'1227-29耗量'!$A$1:$C$602,3,FALSE),0)</f>
        <v>7</v>
      </c>
      <c r="E690" s="7">
        <f t="shared" si="20"/>
        <v>356</v>
      </c>
      <c r="F690" s="7" t="str">
        <f t="shared" si="21"/>
        <v>無資料</v>
      </c>
      <c r="G690" s="7" t="e">
        <f>VLOOKUP(A690,Sheet5!$A$2:$D$415,4,FALSE)</f>
        <v>#N/A</v>
      </c>
      <c r="H690" s="7" t="e">
        <f>VLOOKUP(A690,Sheet5!$A$2:$D$415,3,FALSE)</f>
        <v>#N/A</v>
      </c>
      <c r="I690" s="7">
        <f>VLOOKUP(A690,'1201-29周均耗用'!$A$1:$C$602,3,FALSE)</f>
        <v>47.5</v>
      </c>
    </row>
    <row r="691" spans="1:9">
      <c r="A691" s="13" t="s">
        <v>1387</v>
      </c>
      <c r="B691" s="14" t="s">
        <v>1388</v>
      </c>
      <c r="C691" s="13">
        <v>1952</v>
      </c>
      <c r="D691" s="7">
        <f>VLOOKUP(A691,'1227-29耗量'!$A$1:$C$602,3,FALSE)</f>
        <v>29</v>
      </c>
      <c r="E691" s="7">
        <f t="shared" si="20"/>
        <v>1923</v>
      </c>
      <c r="F691" s="7" t="str">
        <f t="shared" si="21"/>
        <v>錯誤</v>
      </c>
      <c r="G691" s="7">
        <f>VLOOKUP(A691,Sheet5!$A$2:$D$415,4,FALSE)</f>
        <v>1451</v>
      </c>
      <c r="H691" s="7">
        <f>VLOOKUP(A691,Sheet5!$A$2:$D$415,3,FALSE)</f>
        <v>1000</v>
      </c>
      <c r="I691" s="7">
        <f>VLOOKUP(A691,'1201-29周均耗用'!$A$1:$C$602,3,FALSE)</f>
        <v>151.8</v>
      </c>
    </row>
    <row r="692" spans="1:9">
      <c r="A692" s="13" t="s">
        <v>1389</v>
      </c>
      <c r="B692" s="14" t="s">
        <v>1390</v>
      </c>
      <c r="C692" s="13">
        <v>1639</v>
      </c>
      <c r="D692" s="7">
        <f>VLOOKUP(A692,'1227-29耗量'!$A$1:$C$602,3,FALSE)</f>
        <v>103</v>
      </c>
      <c r="E692" s="7">
        <f t="shared" si="20"/>
        <v>1536</v>
      </c>
      <c r="F692" s="7" t="str">
        <f t="shared" si="21"/>
        <v>錯誤</v>
      </c>
      <c r="G692" s="7">
        <f>VLOOKUP(A692,Sheet5!$A$2:$D$415,4,FALSE)</f>
        <v>763</v>
      </c>
      <c r="H692" s="7">
        <f>VLOOKUP(A692,Sheet5!$A$2:$D$415,3,FALSE)</f>
        <v>1000</v>
      </c>
      <c r="I692" s="7">
        <f>VLOOKUP(A692,'1201-29周均耗用'!$A$1:$C$602,3,FALSE)</f>
        <v>544.5</v>
      </c>
    </row>
    <row r="693" spans="1:9">
      <c r="A693" s="13" t="s">
        <v>1391</v>
      </c>
      <c r="B693" s="14" t="s">
        <v>1392</v>
      </c>
      <c r="C693" s="13">
        <v>65</v>
      </c>
      <c r="D693" s="7">
        <f>IFERROR(VLOOKUP(A693,'1227-29耗量'!$A$1:$C$602,3,FALSE),0)</f>
        <v>2</v>
      </c>
      <c r="E693" s="7">
        <f t="shared" si="20"/>
        <v>63</v>
      </c>
      <c r="F693" s="7" t="str">
        <f t="shared" si="21"/>
        <v>無資料</v>
      </c>
      <c r="G693" s="7" t="e">
        <f>VLOOKUP(A693,Sheet5!$A$2:$D$415,4,FALSE)</f>
        <v>#N/A</v>
      </c>
      <c r="H693" s="7" t="e">
        <f>VLOOKUP(A693,Sheet5!$A$2:$D$415,3,FALSE)</f>
        <v>#N/A</v>
      </c>
      <c r="I693" s="7" t="e">
        <f>VLOOKUP(A693,'1201-29周均耗用'!$A$1:$C$602,3,FALSE)</f>
        <v>#N/A</v>
      </c>
    </row>
    <row r="694" spans="1:9">
      <c r="A694" s="13" t="s">
        <v>1393</v>
      </c>
      <c r="B694" s="14" t="s">
        <v>1394</v>
      </c>
      <c r="C694" s="13">
        <v>0</v>
      </c>
      <c r="D694" s="7">
        <f>IFERROR(VLOOKUP(A694,'1227-29耗量'!$A$1:$C$602,3,FALSE),0)</f>
        <v>0</v>
      </c>
      <c r="E694" s="7">
        <f t="shared" si="20"/>
        <v>0</v>
      </c>
      <c r="F694" s="7" t="str">
        <f t="shared" si="21"/>
        <v>無資料</v>
      </c>
      <c r="G694" s="7" t="e">
        <f>VLOOKUP(A694,Sheet5!$A$2:$D$415,4,FALSE)</f>
        <v>#N/A</v>
      </c>
      <c r="H694" s="7" t="e">
        <f>VLOOKUP(A694,Sheet5!$A$2:$D$415,3,FALSE)</f>
        <v>#N/A</v>
      </c>
      <c r="I694" s="7" t="e">
        <f>VLOOKUP(A694,'1201-29周均耗用'!$A$1:$C$602,3,FALSE)</f>
        <v>#N/A</v>
      </c>
    </row>
    <row r="695" spans="1:9">
      <c r="A695" s="13" t="s">
        <v>1395</v>
      </c>
      <c r="B695" s="14" t="s">
        <v>1396</v>
      </c>
      <c r="C695" s="13">
        <v>910</v>
      </c>
      <c r="D695" s="7">
        <f>VLOOKUP(A695,'1227-29耗量'!$A$1:$C$602,3,FALSE)</f>
        <v>2</v>
      </c>
      <c r="E695" s="7">
        <f t="shared" si="20"/>
        <v>908</v>
      </c>
      <c r="F695" s="7" t="str">
        <f t="shared" si="21"/>
        <v>錯誤</v>
      </c>
      <c r="G695" s="7">
        <f>VLOOKUP(A695,Sheet5!$A$2:$D$415,4,FALSE)</f>
        <v>540</v>
      </c>
      <c r="H695" s="7">
        <f>VLOOKUP(A695,Sheet5!$A$2:$D$415,3,FALSE)</f>
        <v>500</v>
      </c>
      <c r="I695" s="7">
        <f>VLOOKUP(A695,'1201-29周均耗用'!$A$1:$C$602,3,FALSE)</f>
        <v>65</v>
      </c>
    </row>
    <row r="696" spans="1:9">
      <c r="A696" s="13" t="s">
        <v>1397</v>
      </c>
      <c r="B696" s="14" t="s">
        <v>1398</v>
      </c>
      <c r="C696" s="13">
        <v>982</v>
      </c>
      <c r="D696" s="7">
        <f>IFERROR(VLOOKUP(A696,'1227-29耗量'!$A$1:$C$602,3,FALSE),0)</f>
        <v>0</v>
      </c>
      <c r="E696" s="7">
        <f t="shared" si="20"/>
        <v>982</v>
      </c>
      <c r="F696" s="7" t="str">
        <f t="shared" si="21"/>
        <v>無資料</v>
      </c>
      <c r="G696" s="7" t="e">
        <f>VLOOKUP(A696,Sheet5!$A$2:$D$415,4,FALSE)</f>
        <v>#N/A</v>
      </c>
      <c r="H696" s="7" t="e">
        <f>VLOOKUP(A696,Sheet5!$A$2:$D$415,3,FALSE)</f>
        <v>#N/A</v>
      </c>
      <c r="I696" s="7" t="e">
        <f>VLOOKUP(A696,'1201-29周均耗用'!$A$1:$C$602,3,FALSE)</f>
        <v>#N/A</v>
      </c>
    </row>
    <row r="697" spans="1:9">
      <c r="A697" s="13" t="s">
        <v>1399</v>
      </c>
      <c r="B697" s="14" t="s">
        <v>1400</v>
      </c>
      <c r="C697" s="13">
        <v>102</v>
      </c>
      <c r="D697" s="7">
        <f>VLOOKUP(A697,'1227-29耗量'!$A$1:$C$602,3,FALSE)</f>
        <v>4</v>
      </c>
      <c r="E697" s="7">
        <f t="shared" si="20"/>
        <v>98</v>
      </c>
      <c r="F697" s="7" t="str">
        <f t="shared" si="21"/>
        <v>錯誤</v>
      </c>
      <c r="G697" s="7">
        <f>VLOOKUP(A697,Sheet5!$A$2:$D$415,4,FALSE)</f>
        <v>79</v>
      </c>
      <c r="H697" s="7">
        <f>VLOOKUP(A697,Sheet5!$A$2:$D$415,3,FALSE)</f>
        <v>100</v>
      </c>
      <c r="I697" s="7">
        <f>VLOOKUP(A697,'1201-29周均耗用'!$A$1:$C$602,3,FALSE)</f>
        <v>32.8</v>
      </c>
    </row>
    <row r="698" spans="1:9">
      <c r="A698" s="13" t="s">
        <v>1401</v>
      </c>
      <c r="B698" s="14" t="s">
        <v>1402</v>
      </c>
      <c r="C698" s="13">
        <v>954</v>
      </c>
      <c r="D698" s="7">
        <f>IFERROR(VLOOKUP(A698,'1227-29耗量'!$A$1:$C$602,3,FALSE),0)</f>
        <v>28</v>
      </c>
      <c r="E698" s="7">
        <f t="shared" si="20"/>
        <v>926</v>
      </c>
      <c r="F698" s="7" t="str">
        <f t="shared" si="21"/>
        <v>無資料</v>
      </c>
      <c r="G698" s="7" t="e">
        <f>VLOOKUP(A698,Sheet5!$A$2:$D$415,4,FALSE)</f>
        <v>#N/A</v>
      </c>
      <c r="H698" s="7" t="e">
        <f>VLOOKUP(A698,Sheet5!$A$2:$D$415,3,FALSE)</f>
        <v>#N/A</v>
      </c>
      <c r="I698" s="7">
        <f>VLOOKUP(A698,'1201-29周均耗用'!$A$1:$C$602,3,FALSE)</f>
        <v>132.2</v>
      </c>
    </row>
    <row r="699" spans="1:9">
      <c r="A699" s="13" t="s">
        <v>1403</v>
      </c>
      <c r="B699" s="14" t="s">
        <v>1404</v>
      </c>
      <c r="C699" s="13">
        <v>6</v>
      </c>
      <c r="D699" s="7">
        <f>IFERROR(VLOOKUP(A699,'1227-29耗量'!$A$1:$C$602,3,FALSE),0)</f>
        <v>0</v>
      </c>
      <c r="E699" s="7">
        <f t="shared" si="20"/>
        <v>6</v>
      </c>
      <c r="F699" s="7" t="str">
        <f t="shared" si="21"/>
        <v>無資料</v>
      </c>
      <c r="G699" s="7" t="e">
        <f>VLOOKUP(A699,Sheet5!$A$2:$D$415,4,FALSE)</f>
        <v>#N/A</v>
      </c>
      <c r="H699" s="7" t="e">
        <f>VLOOKUP(A699,Sheet5!$A$2:$D$415,3,FALSE)</f>
        <v>#N/A</v>
      </c>
      <c r="I699" s="7" t="e">
        <f>VLOOKUP(A699,'1201-29周均耗用'!$A$1:$C$602,3,FALSE)</f>
        <v>#N/A</v>
      </c>
    </row>
    <row r="700" spans="1:9">
      <c r="A700" s="13" t="s">
        <v>1405</v>
      </c>
      <c r="B700" s="14" t="s">
        <v>1406</v>
      </c>
      <c r="C700" s="13">
        <v>4</v>
      </c>
      <c r="D700" s="7">
        <f>IFERROR(VLOOKUP(A700,'1227-29耗量'!$A$1:$C$602,3,FALSE),0)</f>
        <v>0</v>
      </c>
      <c r="E700" s="7">
        <f t="shared" si="20"/>
        <v>4</v>
      </c>
      <c r="F700" s="7" t="str">
        <f t="shared" si="21"/>
        <v>無資料</v>
      </c>
      <c r="G700" s="7" t="e">
        <f>VLOOKUP(A700,Sheet5!$A$2:$D$415,4,FALSE)</f>
        <v>#N/A</v>
      </c>
      <c r="H700" s="7" t="e">
        <f>VLOOKUP(A700,Sheet5!$A$2:$D$415,3,FALSE)</f>
        <v>#N/A</v>
      </c>
      <c r="I700" s="7" t="e">
        <f>VLOOKUP(A700,'1201-29周均耗用'!$A$1:$C$602,3,FALSE)</f>
        <v>#N/A</v>
      </c>
    </row>
    <row r="701" spans="1:9">
      <c r="A701" s="13" t="s">
        <v>1407</v>
      </c>
      <c r="B701" s="14" t="s">
        <v>1408</v>
      </c>
      <c r="C701" s="13">
        <v>1243</v>
      </c>
      <c r="D701" s="7">
        <f>VLOOKUP(A701,'1227-29耗量'!$A$1:$C$602,3,FALSE)</f>
        <v>66</v>
      </c>
      <c r="E701" s="7">
        <f t="shared" si="20"/>
        <v>1177</v>
      </c>
      <c r="F701" s="7" t="str">
        <f t="shared" si="21"/>
        <v>錯誤</v>
      </c>
      <c r="G701" s="7">
        <f>VLOOKUP(A701,Sheet5!$A$2:$D$415,4,FALSE)</f>
        <v>1077</v>
      </c>
      <c r="H701" s="7">
        <f>VLOOKUP(A701,Sheet5!$A$2:$D$415,3,FALSE)</f>
        <v>600</v>
      </c>
      <c r="I701" s="7">
        <f>VLOOKUP(A701,'1201-29周均耗用'!$A$1:$C$602,3,FALSE)</f>
        <v>345</v>
      </c>
    </row>
    <row r="702" spans="1:9">
      <c r="A702" s="13" t="s">
        <v>1409</v>
      </c>
      <c r="B702" s="14" t="s">
        <v>1410</v>
      </c>
      <c r="C702" s="13">
        <v>584</v>
      </c>
      <c r="D702" s="7">
        <f>IFERROR(VLOOKUP(A702,'1227-29耗量'!$A$1:$C$602,3,FALSE),0)</f>
        <v>14</v>
      </c>
      <c r="E702" s="7">
        <f t="shared" si="20"/>
        <v>570</v>
      </c>
      <c r="F702" s="7" t="str">
        <f t="shared" si="21"/>
        <v>無資料</v>
      </c>
      <c r="G702" s="7" t="e">
        <f>VLOOKUP(A702,Sheet5!$A$2:$D$415,4,FALSE)</f>
        <v>#N/A</v>
      </c>
      <c r="H702" s="7" t="e">
        <f>VLOOKUP(A702,Sheet5!$A$2:$D$415,3,FALSE)</f>
        <v>#N/A</v>
      </c>
      <c r="I702" s="7">
        <f>VLOOKUP(A702,'1201-29周均耗用'!$A$1:$C$602,3,FALSE)</f>
        <v>30</v>
      </c>
    </row>
    <row r="703" spans="1:9">
      <c r="A703" s="13" t="s">
        <v>1411</v>
      </c>
      <c r="B703" s="14" t="s">
        <v>1412</v>
      </c>
      <c r="C703" s="13">
        <v>268</v>
      </c>
      <c r="D703" s="7">
        <f>VLOOKUP(A703,'1227-29耗量'!$A$1:$C$602,3,FALSE)</f>
        <v>100</v>
      </c>
      <c r="E703" s="7">
        <f t="shared" si="20"/>
        <v>168</v>
      </c>
      <c r="F703" s="7" t="str">
        <f t="shared" si="21"/>
        <v>錯誤</v>
      </c>
      <c r="G703" s="7">
        <f>VLOOKUP(A703,Sheet5!$A$2:$D$415,4,FALSE)</f>
        <v>103</v>
      </c>
      <c r="H703" s="7">
        <f>VLOOKUP(A703,Sheet5!$A$2:$D$415,3,FALSE)</f>
        <v>1800</v>
      </c>
      <c r="I703" s="7" t="e">
        <f>VLOOKUP(A703,'1201-29周均耗用'!$A$1:$C$602,3,FALSE)</f>
        <v>#N/A</v>
      </c>
    </row>
    <row r="704" spans="1:9">
      <c r="A704" s="13" t="s">
        <v>1413</v>
      </c>
      <c r="B704" s="14" t="s">
        <v>1414</v>
      </c>
      <c r="C704" s="13">
        <v>299</v>
      </c>
      <c r="D704" s="7">
        <f>IFERROR(VLOOKUP(A704,'1227-29耗量'!$A$1:$C$602,3,FALSE),0)</f>
        <v>0</v>
      </c>
      <c r="E704" s="7">
        <f t="shared" si="20"/>
        <v>299</v>
      </c>
      <c r="F704" s="7" t="str">
        <f t="shared" si="21"/>
        <v>無資料</v>
      </c>
      <c r="G704" s="7" t="e">
        <f>VLOOKUP(A704,Sheet5!$A$2:$D$415,4,FALSE)</f>
        <v>#N/A</v>
      </c>
      <c r="H704" s="7" t="e">
        <f>VLOOKUP(A704,Sheet5!$A$2:$D$415,3,FALSE)</f>
        <v>#N/A</v>
      </c>
      <c r="I704" s="7">
        <f>VLOOKUP(A704,'1201-29周均耗用'!$A$1:$C$602,3,FALSE)</f>
        <v>3.8</v>
      </c>
    </row>
    <row r="705" spans="1:9">
      <c r="A705" s="13" t="s">
        <v>1415</v>
      </c>
      <c r="B705" s="14" t="s">
        <v>1416</v>
      </c>
      <c r="C705" s="13">
        <v>310</v>
      </c>
      <c r="D705" s="7">
        <f>IFERROR(VLOOKUP(A705,'1227-29耗量'!$A$1:$C$602,3,FALSE),0)</f>
        <v>50</v>
      </c>
      <c r="E705" s="7">
        <f t="shared" si="20"/>
        <v>260</v>
      </c>
      <c r="F705" s="7" t="str">
        <f t="shared" si="21"/>
        <v>無資料</v>
      </c>
      <c r="G705" s="7" t="e">
        <f>VLOOKUP(A705,Sheet5!$A$2:$D$415,4,FALSE)</f>
        <v>#N/A</v>
      </c>
      <c r="H705" s="7" t="e">
        <f>VLOOKUP(A705,Sheet5!$A$2:$D$415,3,FALSE)</f>
        <v>#N/A</v>
      </c>
      <c r="I705" s="7">
        <f>VLOOKUP(A705,'1201-29周均耗用'!$A$1:$C$602,3,FALSE)</f>
        <v>285</v>
      </c>
    </row>
    <row r="706" spans="1:9">
      <c r="A706" s="13" t="s">
        <v>1417</v>
      </c>
      <c r="B706" s="14" t="s">
        <v>1418</v>
      </c>
      <c r="C706" s="13">
        <v>1117</v>
      </c>
      <c r="D706" s="7">
        <f>VLOOKUP(A706,'1227-29耗量'!$A$1:$C$602,3,FALSE)</f>
        <v>46</v>
      </c>
      <c r="E706" s="7">
        <f t="shared" si="20"/>
        <v>1071</v>
      </c>
      <c r="F706" s="7" t="str">
        <f t="shared" si="21"/>
        <v>錯誤</v>
      </c>
      <c r="G706" s="7">
        <f>VLOOKUP(A706,Sheet5!$A$2:$D$415,4,FALSE)</f>
        <v>636</v>
      </c>
      <c r="H706" s="7">
        <f>VLOOKUP(A706,Sheet5!$A$2:$D$415,3,FALSE)</f>
        <v>1500</v>
      </c>
      <c r="I706" s="7">
        <f>VLOOKUP(A706,'1201-29周均耗用'!$A$1:$C$602,3,FALSE)</f>
        <v>357.2</v>
      </c>
    </row>
    <row r="707" spans="1:9">
      <c r="A707" s="13" t="s">
        <v>1419</v>
      </c>
      <c r="B707" s="14" t="s">
        <v>1420</v>
      </c>
      <c r="C707" s="13">
        <v>75</v>
      </c>
      <c r="D707" s="7">
        <f>IFERROR(VLOOKUP(A707,'1227-29耗量'!$A$1:$C$602,3,FALSE),0)</f>
        <v>0</v>
      </c>
      <c r="E707" s="7">
        <f t="shared" ref="E707:E770" si="22">C707-D707</f>
        <v>75</v>
      </c>
      <c r="F707" s="7" t="str">
        <f t="shared" ref="F707:F770" si="23">IFERROR(IF(E707=G707,"OK","錯誤"),"無資料")</f>
        <v>無資料</v>
      </c>
      <c r="G707" s="7" t="e">
        <f>VLOOKUP(A707,Sheet5!$A$2:$D$415,4,FALSE)</f>
        <v>#N/A</v>
      </c>
      <c r="H707" s="7" t="e">
        <f>VLOOKUP(A707,Sheet5!$A$2:$D$415,3,FALSE)</f>
        <v>#N/A</v>
      </c>
      <c r="I707" s="7">
        <f>VLOOKUP(A707,'1201-29周均耗用'!$A$1:$C$602,3,FALSE)</f>
        <v>11</v>
      </c>
    </row>
    <row r="708" spans="1:9">
      <c r="A708" s="13" t="s">
        <v>1421</v>
      </c>
      <c r="B708" s="14" t="s">
        <v>1422</v>
      </c>
      <c r="C708" s="13">
        <v>30</v>
      </c>
      <c r="D708" s="7">
        <f>IFERROR(VLOOKUP(A708,'1227-29耗量'!$A$1:$C$602,3,FALSE),0)</f>
        <v>0</v>
      </c>
      <c r="E708" s="7">
        <f t="shared" si="22"/>
        <v>30</v>
      </c>
      <c r="F708" s="7" t="str">
        <f t="shared" si="23"/>
        <v>無資料</v>
      </c>
      <c r="G708" s="7" t="e">
        <f>VLOOKUP(A708,Sheet5!$A$2:$D$415,4,FALSE)</f>
        <v>#N/A</v>
      </c>
      <c r="H708" s="7" t="e">
        <f>VLOOKUP(A708,Sheet5!$A$2:$D$415,3,FALSE)</f>
        <v>#N/A</v>
      </c>
      <c r="I708" s="7">
        <f>VLOOKUP(A708,'1201-29周均耗用'!$A$1:$C$602,3,FALSE)</f>
        <v>5.5</v>
      </c>
    </row>
    <row r="709" spans="1:9">
      <c r="A709" s="13" t="s">
        <v>1423</v>
      </c>
      <c r="B709" s="14" t="s">
        <v>1424</v>
      </c>
      <c r="C709" s="13">
        <v>6924</v>
      </c>
      <c r="D709" s="7">
        <f>VLOOKUP(A709,'1227-29耗量'!$A$1:$C$602,3,FALSE)</f>
        <v>201</v>
      </c>
      <c r="E709" s="7">
        <f t="shared" si="22"/>
        <v>6723</v>
      </c>
      <c r="F709" s="7" t="str">
        <f t="shared" si="23"/>
        <v>錯誤</v>
      </c>
      <c r="G709" s="7">
        <f>VLOOKUP(A709,Sheet5!$A$2:$D$415,4,FALSE)</f>
        <v>3021</v>
      </c>
      <c r="H709" s="7">
        <f>VLOOKUP(A709,Sheet5!$A$2:$D$415,3,FALSE)</f>
        <v>6000</v>
      </c>
      <c r="I709" s="7">
        <f>VLOOKUP(A709,'1201-29周均耗用'!$A$1:$C$602,3,FALSE)</f>
        <v>1324.5</v>
      </c>
    </row>
    <row r="710" spans="1:9">
      <c r="A710" s="13" t="s">
        <v>1425</v>
      </c>
      <c r="B710" s="14" t="s">
        <v>1426</v>
      </c>
      <c r="C710" s="13">
        <v>25</v>
      </c>
      <c r="D710" s="7">
        <f>VLOOKUP(A710,'1227-29耗量'!$A$1:$C$602,3,FALSE)</f>
        <v>0</v>
      </c>
      <c r="E710" s="7">
        <f t="shared" si="22"/>
        <v>25</v>
      </c>
      <c r="F710" s="7" t="str">
        <f t="shared" si="23"/>
        <v>錯誤</v>
      </c>
      <c r="G710" s="7">
        <f>VLOOKUP(A710,Sheet5!$A$2:$D$415,4,FALSE)</f>
        <v>-3</v>
      </c>
      <c r="H710" s="7">
        <f>VLOOKUP(A710,Sheet5!$A$2:$D$415,3,FALSE)</f>
        <v>10</v>
      </c>
      <c r="I710" s="7">
        <f>VLOOKUP(A710,'1201-29周均耗用'!$A$1:$C$602,3,FALSE)</f>
        <v>1.8</v>
      </c>
    </row>
    <row r="711" spans="1:9">
      <c r="A711" s="13" t="s">
        <v>1427</v>
      </c>
      <c r="B711" s="14" t="s">
        <v>1428</v>
      </c>
      <c r="C711" s="13">
        <v>669</v>
      </c>
      <c r="D711" s="7">
        <f>IFERROR(VLOOKUP(A711,'1227-29耗量'!$A$1:$C$602,3,FALSE),0)</f>
        <v>32</v>
      </c>
      <c r="E711" s="7">
        <f t="shared" si="22"/>
        <v>637</v>
      </c>
      <c r="F711" s="7" t="str">
        <f t="shared" si="23"/>
        <v>無資料</v>
      </c>
      <c r="G711" s="7" t="e">
        <f>VLOOKUP(A711,Sheet5!$A$2:$D$415,4,FALSE)</f>
        <v>#N/A</v>
      </c>
      <c r="H711" s="7" t="e">
        <f>VLOOKUP(A711,Sheet5!$A$2:$D$415,3,FALSE)</f>
        <v>#N/A</v>
      </c>
      <c r="I711" s="7">
        <f>VLOOKUP(A711,'1201-29周均耗用'!$A$1:$C$602,3,FALSE)</f>
        <v>59</v>
      </c>
    </row>
    <row r="712" spans="1:9">
      <c r="A712" s="13" t="s">
        <v>1429</v>
      </c>
      <c r="B712" s="14" t="s">
        <v>1430</v>
      </c>
      <c r="C712" s="13">
        <v>91</v>
      </c>
      <c r="D712" s="7">
        <f>IFERROR(VLOOKUP(A712,'1227-29耗量'!$A$1:$C$602,3,FALSE),0)</f>
        <v>0</v>
      </c>
      <c r="E712" s="7">
        <f t="shared" si="22"/>
        <v>91</v>
      </c>
      <c r="F712" s="7" t="str">
        <f t="shared" si="23"/>
        <v>無資料</v>
      </c>
      <c r="G712" s="7" t="e">
        <f>VLOOKUP(A712,Sheet5!$A$2:$D$415,4,FALSE)</f>
        <v>#N/A</v>
      </c>
      <c r="H712" s="7" t="e">
        <f>VLOOKUP(A712,Sheet5!$A$2:$D$415,3,FALSE)</f>
        <v>#N/A</v>
      </c>
      <c r="I712" s="7">
        <f>VLOOKUP(A712,'1201-29周均耗用'!$A$1:$C$602,3,FALSE)</f>
        <v>10.2</v>
      </c>
    </row>
    <row r="713" spans="1:9">
      <c r="A713" s="13" t="s">
        <v>1431</v>
      </c>
      <c r="B713" s="14" t="s">
        <v>1432</v>
      </c>
      <c r="C713" s="13">
        <v>101</v>
      </c>
      <c r="D713" s="7">
        <f>IFERROR(VLOOKUP(A713,'1227-29耗量'!$A$1:$C$602,3,FALSE),0)</f>
        <v>0</v>
      </c>
      <c r="E713" s="7">
        <f t="shared" si="22"/>
        <v>101</v>
      </c>
      <c r="F713" s="7" t="str">
        <f t="shared" si="23"/>
        <v>無資料</v>
      </c>
      <c r="G713" s="7" t="e">
        <f>VLOOKUP(A713,Sheet5!$A$2:$D$415,4,FALSE)</f>
        <v>#N/A</v>
      </c>
      <c r="H713" s="7" t="e">
        <f>VLOOKUP(A713,Sheet5!$A$2:$D$415,3,FALSE)</f>
        <v>#N/A</v>
      </c>
      <c r="I713" s="7">
        <f>VLOOKUP(A713,'1201-29周均耗用'!$A$1:$C$602,3,FALSE)</f>
        <v>14</v>
      </c>
    </row>
    <row r="714" spans="1:9">
      <c r="A714" s="13" t="s">
        <v>1433</v>
      </c>
      <c r="B714" s="14" t="s">
        <v>1434</v>
      </c>
      <c r="C714" s="13">
        <v>0</v>
      </c>
      <c r="D714" s="7">
        <f>IFERROR(VLOOKUP(A714,'1227-29耗量'!$A$1:$C$602,3,FALSE),0)</f>
        <v>0</v>
      </c>
      <c r="E714" s="7">
        <f t="shared" si="22"/>
        <v>0</v>
      </c>
      <c r="F714" s="7" t="str">
        <f t="shared" si="23"/>
        <v>無資料</v>
      </c>
      <c r="G714" s="7" t="e">
        <f>VLOOKUP(A714,Sheet5!$A$2:$D$415,4,FALSE)</f>
        <v>#N/A</v>
      </c>
      <c r="H714" s="7" t="e">
        <f>VLOOKUP(A714,Sheet5!$A$2:$D$415,3,FALSE)</f>
        <v>#N/A</v>
      </c>
      <c r="I714" s="7">
        <f>VLOOKUP(A714,'1201-29周均耗用'!$A$1:$C$602,3,FALSE)</f>
        <v>7.5</v>
      </c>
    </row>
    <row r="715" spans="1:9">
      <c r="A715" s="13" t="s">
        <v>1435</v>
      </c>
      <c r="B715" s="14" t="s">
        <v>1436</v>
      </c>
      <c r="C715" s="13">
        <v>0</v>
      </c>
      <c r="D715" s="7">
        <f>IFERROR(VLOOKUP(A715,'1227-29耗量'!$A$1:$C$602,3,FALSE),0)</f>
        <v>28</v>
      </c>
      <c r="E715" s="7">
        <f t="shared" si="22"/>
        <v>-28</v>
      </c>
      <c r="F715" s="7" t="str">
        <f t="shared" si="23"/>
        <v>無資料</v>
      </c>
      <c r="G715" s="7" t="e">
        <f>VLOOKUP(A715,Sheet5!$A$2:$D$415,4,FALSE)</f>
        <v>#N/A</v>
      </c>
      <c r="H715" s="7" t="e">
        <f>VLOOKUP(A715,Sheet5!$A$2:$D$415,3,FALSE)</f>
        <v>#N/A</v>
      </c>
      <c r="I715" s="7">
        <f>VLOOKUP(A715,'1201-29周均耗用'!$A$1:$C$602,3,FALSE)</f>
        <v>17</v>
      </c>
    </row>
    <row r="716" spans="1:9">
      <c r="A716" s="13" t="s">
        <v>1437</v>
      </c>
      <c r="B716" s="14" t="s">
        <v>1438</v>
      </c>
      <c r="C716" s="13">
        <v>0</v>
      </c>
      <c r="D716" s="7">
        <f>IFERROR(VLOOKUP(A716,'1227-29耗量'!$A$1:$C$602,3,FALSE),0)</f>
        <v>0</v>
      </c>
      <c r="E716" s="7">
        <f t="shared" si="22"/>
        <v>0</v>
      </c>
      <c r="F716" s="7" t="str">
        <f t="shared" si="23"/>
        <v>錯誤</v>
      </c>
      <c r="G716" s="7">
        <f>VLOOKUP(A716,Sheet5!$A$2:$D$415,4,FALSE)</f>
        <v>-9</v>
      </c>
      <c r="H716" s="7">
        <f>VLOOKUP(A716,Sheet5!$A$2:$D$415,3,FALSE)</f>
        <v>0</v>
      </c>
      <c r="I716" s="7" t="e">
        <f>VLOOKUP(A716,'1201-29周均耗用'!$A$1:$C$602,3,FALSE)</f>
        <v>#N/A</v>
      </c>
    </row>
    <row r="717" spans="1:9">
      <c r="A717" s="13" t="s">
        <v>1439</v>
      </c>
      <c r="B717" s="14" t="s">
        <v>1440</v>
      </c>
      <c r="C717" s="13">
        <v>0</v>
      </c>
      <c r="D717" s="7">
        <f>IFERROR(VLOOKUP(A717,'1227-29耗量'!$A$1:$C$602,3,FALSE),0)</f>
        <v>0</v>
      </c>
      <c r="E717" s="7">
        <f t="shared" si="22"/>
        <v>0</v>
      </c>
      <c r="F717" s="7" t="str">
        <f t="shared" si="23"/>
        <v>無資料</v>
      </c>
      <c r="G717" s="7" t="e">
        <f>VLOOKUP(A717,Sheet5!$A$2:$D$415,4,FALSE)</f>
        <v>#N/A</v>
      </c>
      <c r="H717" s="7" t="e">
        <f>VLOOKUP(A717,Sheet5!$A$2:$D$415,3,FALSE)</f>
        <v>#N/A</v>
      </c>
      <c r="I717" s="7">
        <f>VLOOKUP(A717,'1201-29周均耗用'!$A$1:$C$602,3,FALSE)</f>
        <v>-0.2</v>
      </c>
    </row>
    <row r="718" spans="1:9">
      <c r="A718" s="13" t="s">
        <v>1441</v>
      </c>
      <c r="B718" s="14" t="s">
        <v>1442</v>
      </c>
      <c r="C718" s="13">
        <v>230</v>
      </c>
      <c r="D718" s="7">
        <f>VLOOKUP(A718,'1227-29耗量'!$A$1:$C$602,3,FALSE)</f>
        <v>78</v>
      </c>
      <c r="E718" s="7">
        <f t="shared" si="22"/>
        <v>152</v>
      </c>
      <c r="F718" s="7" t="str">
        <f t="shared" si="23"/>
        <v>錯誤</v>
      </c>
      <c r="G718" s="7">
        <f>VLOOKUP(A718,Sheet5!$A$2:$D$415,4,FALSE)</f>
        <v>593</v>
      </c>
      <c r="H718" s="7">
        <f>VLOOKUP(A718,Sheet5!$A$2:$D$415,3,FALSE)</f>
        <v>500</v>
      </c>
      <c r="I718" s="7">
        <f>VLOOKUP(A718,'1201-29周均耗用'!$A$1:$C$602,3,FALSE)</f>
        <v>305.5</v>
      </c>
    </row>
    <row r="719" spans="1:9">
      <c r="A719" s="13" t="s">
        <v>1443</v>
      </c>
      <c r="B719" s="14" t="s">
        <v>1444</v>
      </c>
      <c r="C719" s="13">
        <v>0</v>
      </c>
      <c r="D719" s="7">
        <f>IFERROR(VLOOKUP(A719,'1227-29耗量'!$A$1:$C$602,3,FALSE),0)</f>
        <v>0</v>
      </c>
      <c r="E719" s="7">
        <f t="shared" si="22"/>
        <v>0</v>
      </c>
      <c r="F719" s="7" t="str">
        <f t="shared" si="23"/>
        <v>無資料</v>
      </c>
      <c r="G719" s="7" t="e">
        <f>VLOOKUP(A719,Sheet5!$A$2:$D$415,4,FALSE)</f>
        <v>#N/A</v>
      </c>
      <c r="H719" s="7" t="e">
        <f>VLOOKUP(A719,Sheet5!$A$2:$D$415,3,FALSE)</f>
        <v>#N/A</v>
      </c>
      <c r="I719" s="7" t="e">
        <f>VLOOKUP(A719,'1201-29周均耗用'!$A$1:$C$602,3,FALSE)</f>
        <v>#N/A</v>
      </c>
    </row>
    <row r="720" spans="1:9">
      <c r="A720" s="13" t="s">
        <v>1445</v>
      </c>
      <c r="B720" s="14" t="s">
        <v>1446</v>
      </c>
      <c r="C720" s="13">
        <v>0</v>
      </c>
      <c r="D720" s="7">
        <f>IFERROR(VLOOKUP(A720,'1227-29耗量'!$A$1:$C$602,3,FALSE),0)</f>
        <v>1</v>
      </c>
      <c r="E720" s="7">
        <f t="shared" si="22"/>
        <v>-1</v>
      </c>
      <c r="F720" s="7" t="str">
        <f t="shared" si="23"/>
        <v>無資料</v>
      </c>
      <c r="G720" s="7" t="e">
        <f>VLOOKUP(A720,Sheet5!$A$2:$D$415,4,FALSE)</f>
        <v>#N/A</v>
      </c>
      <c r="H720" s="7" t="e">
        <f>VLOOKUP(A720,Sheet5!$A$2:$D$415,3,FALSE)</f>
        <v>#N/A</v>
      </c>
      <c r="I720" s="7">
        <f>VLOOKUP(A720,'1201-29周均耗用'!$A$1:$C$602,3,FALSE)</f>
        <v>5.5</v>
      </c>
    </row>
    <row r="721" spans="1:9">
      <c r="A721" s="13" t="s">
        <v>1447</v>
      </c>
      <c r="B721" s="14" t="s">
        <v>1448</v>
      </c>
      <c r="C721" s="13">
        <v>4</v>
      </c>
      <c r="D721" s="7">
        <f>IFERROR(VLOOKUP(A721,'1227-29耗量'!$A$1:$C$602,3,FALSE),0)</f>
        <v>0</v>
      </c>
      <c r="E721" s="7">
        <f t="shared" si="22"/>
        <v>4</v>
      </c>
      <c r="F721" s="7" t="str">
        <f t="shared" si="23"/>
        <v>無資料</v>
      </c>
      <c r="G721" s="7" t="e">
        <f>VLOOKUP(A721,Sheet5!$A$2:$D$415,4,FALSE)</f>
        <v>#N/A</v>
      </c>
      <c r="H721" s="7" t="e">
        <f>VLOOKUP(A721,Sheet5!$A$2:$D$415,3,FALSE)</f>
        <v>#N/A</v>
      </c>
      <c r="I721" s="7">
        <f>VLOOKUP(A721,'1201-29周均耗用'!$A$1:$C$602,3,FALSE)</f>
        <v>1</v>
      </c>
    </row>
    <row r="722" spans="1:9">
      <c r="A722" s="13" t="s">
        <v>1449</v>
      </c>
      <c r="B722" s="14" t="s">
        <v>1450</v>
      </c>
      <c r="C722" s="13">
        <v>121</v>
      </c>
      <c r="D722" s="7">
        <f>IFERROR(VLOOKUP(A722,'1227-29耗量'!$A$1:$C$602,3,FALSE),0)</f>
        <v>0</v>
      </c>
      <c r="E722" s="7">
        <f t="shared" si="22"/>
        <v>121</v>
      </c>
      <c r="F722" s="7" t="str">
        <f t="shared" si="23"/>
        <v>無資料</v>
      </c>
      <c r="G722" s="7" t="e">
        <f>VLOOKUP(A722,Sheet5!$A$2:$D$415,4,FALSE)</f>
        <v>#N/A</v>
      </c>
      <c r="H722" s="7" t="e">
        <f>VLOOKUP(A722,Sheet5!$A$2:$D$415,3,FALSE)</f>
        <v>#N/A</v>
      </c>
      <c r="I722" s="7">
        <f>VLOOKUP(A722,'1201-29周均耗用'!$A$1:$C$602,3,FALSE)</f>
        <v>6.8</v>
      </c>
    </row>
    <row r="723" spans="1:9">
      <c r="A723" s="13" t="s">
        <v>1451</v>
      </c>
      <c r="B723" s="14" t="s">
        <v>1452</v>
      </c>
      <c r="C723" s="13">
        <v>0</v>
      </c>
      <c r="D723" s="7">
        <f>IFERROR(VLOOKUP(A723,'1227-29耗量'!$A$1:$C$602,3,FALSE),0)</f>
        <v>0</v>
      </c>
      <c r="E723" s="7">
        <f t="shared" si="22"/>
        <v>0</v>
      </c>
      <c r="F723" s="7" t="str">
        <f t="shared" si="23"/>
        <v>無資料</v>
      </c>
      <c r="G723" s="7" t="e">
        <f>VLOOKUP(A723,Sheet5!$A$2:$D$415,4,FALSE)</f>
        <v>#N/A</v>
      </c>
      <c r="H723" s="7" t="e">
        <f>VLOOKUP(A723,Sheet5!$A$2:$D$415,3,FALSE)</f>
        <v>#N/A</v>
      </c>
      <c r="I723" s="7" t="e">
        <f>VLOOKUP(A723,'1201-29周均耗用'!$A$1:$C$602,3,FALSE)</f>
        <v>#N/A</v>
      </c>
    </row>
    <row r="724" spans="1:9">
      <c r="A724" s="13" t="s">
        <v>1453</v>
      </c>
      <c r="B724" s="14" t="s">
        <v>1454</v>
      </c>
      <c r="C724" s="13">
        <v>0</v>
      </c>
      <c r="D724" s="7">
        <f>IFERROR(VLOOKUP(A724,'1227-29耗量'!$A$1:$C$602,3,FALSE),0)</f>
        <v>0</v>
      </c>
      <c r="E724" s="7">
        <f t="shared" si="22"/>
        <v>0</v>
      </c>
      <c r="F724" s="7" t="str">
        <f t="shared" si="23"/>
        <v>無資料</v>
      </c>
      <c r="G724" s="7" t="e">
        <f>VLOOKUP(A724,Sheet5!$A$2:$D$415,4,FALSE)</f>
        <v>#N/A</v>
      </c>
      <c r="H724" s="7" t="e">
        <f>VLOOKUP(A724,Sheet5!$A$2:$D$415,3,FALSE)</f>
        <v>#N/A</v>
      </c>
      <c r="I724" s="7" t="e">
        <f>VLOOKUP(A724,'1201-29周均耗用'!$A$1:$C$602,3,FALSE)</f>
        <v>#N/A</v>
      </c>
    </row>
    <row r="725" spans="1:9">
      <c r="A725" s="13" t="s">
        <v>1455</v>
      </c>
      <c r="B725" s="14" t="s">
        <v>1456</v>
      </c>
      <c r="C725" s="13">
        <v>0</v>
      </c>
      <c r="D725" s="7">
        <f>IFERROR(VLOOKUP(A725,'1227-29耗量'!$A$1:$C$602,3,FALSE),0)</f>
        <v>0</v>
      </c>
      <c r="E725" s="7">
        <f t="shared" si="22"/>
        <v>0</v>
      </c>
      <c r="F725" s="7" t="str">
        <f t="shared" si="23"/>
        <v>無資料</v>
      </c>
      <c r="G725" s="7" t="e">
        <f>VLOOKUP(A725,Sheet5!$A$2:$D$415,4,FALSE)</f>
        <v>#N/A</v>
      </c>
      <c r="H725" s="7" t="e">
        <f>VLOOKUP(A725,Sheet5!$A$2:$D$415,3,FALSE)</f>
        <v>#N/A</v>
      </c>
      <c r="I725" s="7" t="e">
        <f>VLOOKUP(A725,'1201-29周均耗用'!$A$1:$C$602,3,FALSE)</f>
        <v>#N/A</v>
      </c>
    </row>
    <row r="726" spans="1:9">
      <c r="A726" s="13" t="s">
        <v>1457</v>
      </c>
      <c r="B726" s="14" t="s">
        <v>1458</v>
      </c>
      <c r="C726" s="13">
        <v>209</v>
      </c>
      <c r="D726" s="7">
        <f>IFERROR(VLOOKUP(A726,'1227-29耗量'!$A$1:$C$602,3,FALSE),0)</f>
        <v>0</v>
      </c>
      <c r="E726" s="7">
        <f t="shared" si="22"/>
        <v>209</v>
      </c>
      <c r="F726" s="7" t="str">
        <f t="shared" si="23"/>
        <v>無資料</v>
      </c>
      <c r="G726" s="7" t="e">
        <f>VLOOKUP(A726,Sheet5!$A$2:$D$415,4,FALSE)</f>
        <v>#N/A</v>
      </c>
      <c r="H726" s="7" t="e">
        <f>VLOOKUP(A726,Sheet5!$A$2:$D$415,3,FALSE)</f>
        <v>#N/A</v>
      </c>
      <c r="I726" s="7">
        <f>VLOOKUP(A726,'1201-29周均耗用'!$A$1:$C$602,3,FALSE)</f>
        <v>12.8</v>
      </c>
    </row>
    <row r="727" spans="1:9">
      <c r="A727" s="13" t="s">
        <v>1459</v>
      </c>
      <c r="B727" s="14" t="s">
        <v>1460</v>
      </c>
      <c r="C727" s="13">
        <v>7</v>
      </c>
      <c r="D727" s="7">
        <f>IFERROR(VLOOKUP(A727,'1227-29耗量'!$A$1:$C$602,3,FALSE),0)</f>
        <v>3</v>
      </c>
      <c r="E727" s="7">
        <f t="shared" si="22"/>
        <v>4</v>
      </c>
      <c r="F727" s="7" t="str">
        <f t="shared" si="23"/>
        <v>無資料</v>
      </c>
      <c r="G727" s="7" t="e">
        <f>VLOOKUP(A727,Sheet5!$A$2:$D$415,4,FALSE)</f>
        <v>#N/A</v>
      </c>
      <c r="H727" s="7" t="e">
        <f>VLOOKUP(A727,Sheet5!$A$2:$D$415,3,FALSE)</f>
        <v>#N/A</v>
      </c>
      <c r="I727" s="7">
        <f>VLOOKUP(A727,'1201-29周均耗用'!$A$1:$C$602,3,FALSE)</f>
        <v>18</v>
      </c>
    </row>
    <row r="728" spans="1:9">
      <c r="A728" s="13" t="s">
        <v>1461</v>
      </c>
      <c r="B728" s="14" t="s">
        <v>1462</v>
      </c>
      <c r="C728" s="13">
        <v>0</v>
      </c>
      <c r="D728" s="7">
        <f>IFERROR(VLOOKUP(A728,'1227-29耗量'!$A$1:$C$602,3,FALSE),0)</f>
        <v>0</v>
      </c>
      <c r="E728" s="7">
        <f t="shared" si="22"/>
        <v>0</v>
      </c>
      <c r="F728" s="7" t="str">
        <f t="shared" si="23"/>
        <v>無資料</v>
      </c>
      <c r="G728" s="7" t="e">
        <f>VLOOKUP(A728,Sheet5!$A$2:$D$415,4,FALSE)</f>
        <v>#N/A</v>
      </c>
      <c r="H728" s="7" t="e">
        <f>VLOOKUP(A728,Sheet5!$A$2:$D$415,3,FALSE)</f>
        <v>#N/A</v>
      </c>
      <c r="I728" s="7" t="e">
        <f>VLOOKUP(A728,'1201-29周均耗用'!$A$1:$C$602,3,FALSE)</f>
        <v>#N/A</v>
      </c>
    </row>
    <row r="729" spans="1:9">
      <c r="A729" s="13" t="s">
        <v>1463</v>
      </c>
      <c r="B729" s="14" t="s">
        <v>1464</v>
      </c>
      <c r="C729" s="13">
        <v>6300</v>
      </c>
      <c r="D729" s="7">
        <f>VLOOKUP(A729,'1227-29耗量'!$A$1:$C$602,3,FALSE)</f>
        <v>202</v>
      </c>
      <c r="E729" s="7">
        <f t="shared" si="22"/>
        <v>6098</v>
      </c>
      <c r="F729" s="7" t="str">
        <f t="shared" si="23"/>
        <v>錯誤</v>
      </c>
      <c r="G729" s="7">
        <f>VLOOKUP(A729,Sheet5!$A$2:$D$415,4,FALSE)</f>
        <v>1986</v>
      </c>
      <c r="H729" s="7">
        <f>VLOOKUP(A729,Sheet5!$A$2:$D$415,3,FALSE)</f>
        <v>5040</v>
      </c>
      <c r="I729" s="7">
        <f>VLOOKUP(A729,'1201-29周均耗用'!$A$1:$C$602,3,FALSE)</f>
        <v>1449.2</v>
      </c>
    </row>
    <row r="730" spans="1:9">
      <c r="A730" s="13" t="s">
        <v>1465</v>
      </c>
      <c r="B730" s="14" t="s">
        <v>1466</v>
      </c>
      <c r="C730" s="13">
        <v>150</v>
      </c>
      <c r="D730" s="7">
        <f>IFERROR(VLOOKUP(A730,'1227-29耗量'!$A$1:$C$602,3,FALSE),0)</f>
        <v>176</v>
      </c>
      <c r="E730" s="7">
        <f t="shared" si="22"/>
        <v>-26</v>
      </c>
      <c r="F730" s="7" t="str">
        <f t="shared" si="23"/>
        <v>無資料</v>
      </c>
      <c r="G730" s="7" t="e">
        <f>VLOOKUP(A730,Sheet5!$A$2:$D$415,4,FALSE)</f>
        <v>#N/A</v>
      </c>
      <c r="H730" s="7" t="e">
        <f>VLOOKUP(A730,Sheet5!$A$2:$D$415,3,FALSE)</f>
        <v>#N/A</v>
      </c>
      <c r="I730" s="7">
        <f>VLOOKUP(A730,'1201-29周均耗用'!$A$1:$C$602,3,FALSE)</f>
        <v>77</v>
      </c>
    </row>
    <row r="731" spans="1:9">
      <c r="A731" s="13" t="s">
        <v>1467</v>
      </c>
      <c r="B731" s="14" t="s">
        <v>1468</v>
      </c>
      <c r="C731" s="13">
        <v>0</v>
      </c>
      <c r="D731" s="7">
        <f>IFERROR(VLOOKUP(A731,'1227-29耗量'!$A$1:$C$602,3,FALSE),0)</f>
        <v>0</v>
      </c>
      <c r="E731" s="7">
        <f t="shared" si="22"/>
        <v>0</v>
      </c>
      <c r="F731" s="7" t="str">
        <f t="shared" si="23"/>
        <v>無資料</v>
      </c>
      <c r="G731" s="7" t="e">
        <f>VLOOKUP(A731,Sheet5!$A$2:$D$415,4,FALSE)</f>
        <v>#N/A</v>
      </c>
      <c r="H731" s="7" t="e">
        <f>VLOOKUP(A731,Sheet5!$A$2:$D$415,3,FALSE)</f>
        <v>#N/A</v>
      </c>
      <c r="I731" s="7" t="e">
        <f>VLOOKUP(A731,'1201-29周均耗用'!$A$1:$C$602,3,FALSE)</f>
        <v>#N/A</v>
      </c>
    </row>
    <row r="732" spans="1:9">
      <c r="A732" s="13" t="s">
        <v>1469</v>
      </c>
      <c r="B732" s="14" t="s">
        <v>1470</v>
      </c>
      <c r="C732" s="13">
        <v>0</v>
      </c>
      <c r="D732" s="7">
        <f>IFERROR(VLOOKUP(A732,'1227-29耗量'!$A$1:$C$602,3,FALSE),0)</f>
        <v>0</v>
      </c>
      <c r="E732" s="7">
        <f t="shared" si="22"/>
        <v>0</v>
      </c>
      <c r="F732" s="7" t="str">
        <f t="shared" si="23"/>
        <v>無資料</v>
      </c>
      <c r="G732" s="7" t="e">
        <f>VLOOKUP(A732,Sheet5!$A$2:$D$415,4,FALSE)</f>
        <v>#N/A</v>
      </c>
      <c r="H732" s="7" t="e">
        <f>VLOOKUP(A732,Sheet5!$A$2:$D$415,3,FALSE)</f>
        <v>#N/A</v>
      </c>
      <c r="I732" s="7" t="e">
        <f>VLOOKUP(A732,'1201-29周均耗用'!$A$1:$C$602,3,FALSE)</f>
        <v>#N/A</v>
      </c>
    </row>
    <row r="733" spans="1:9">
      <c r="A733" s="13" t="s">
        <v>1471</v>
      </c>
      <c r="B733" s="14" t="s">
        <v>1472</v>
      </c>
      <c r="C733" s="13">
        <v>0</v>
      </c>
      <c r="D733" s="7">
        <f>IFERROR(VLOOKUP(A733,'1227-29耗量'!$A$1:$C$602,3,FALSE),0)</f>
        <v>0</v>
      </c>
      <c r="E733" s="7">
        <f t="shared" si="22"/>
        <v>0</v>
      </c>
      <c r="F733" s="7" t="str">
        <f t="shared" si="23"/>
        <v>無資料</v>
      </c>
      <c r="G733" s="7" t="e">
        <f>VLOOKUP(A733,Sheet5!$A$2:$D$415,4,FALSE)</f>
        <v>#N/A</v>
      </c>
      <c r="H733" s="7" t="e">
        <f>VLOOKUP(A733,Sheet5!$A$2:$D$415,3,FALSE)</f>
        <v>#N/A</v>
      </c>
      <c r="I733" s="7" t="e">
        <f>VLOOKUP(A733,'1201-29周均耗用'!$A$1:$C$602,3,FALSE)</f>
        <v>#N/A</v>
      </c>
    </row>
    <row r="734" spans="1:9">
      <c r="A734" s="13" t="s">
        <v>1473</v>
      </c>
      <c r="B734" s="14" t="s">
        <v>1474</v>
      </c>
      <c r="C734" s="13">
        <v>385</v>
      </c>
      <c r="D734" s="7">
        <f>IFERROR(VLOOKUP(A734,'1227-29耗量'!$A$1:$C$602,3,FALSE),0)</f>
        <v>9</v>
      </c>
      <c r="E734" s="7">
        <f t="shared" si="22"/>
        <v>376</v>
      </c>
      <c r="F734" s="7" t="str">
        <f t="shared" si="23"/>
        <v>無資料</v>
      </c>
      <c r="G734" s="7" t="e">
        <f>VLOOKUP(A734,Sheet5!$A$2:$D$415,4,FALSE)</f>
        <v>#N/A</v>
      </c>
      <c r="H734" s="7" t="e">
        <f>VLOOKUP(A734,Sheet5!$A$2:$D$415,3,FALSE)</f>
        <v>#N/A</v>
      </c>
      <c r="I734" s="7">
        <f>VLOOKUP(A734,'1201-29周均耗用'!$A$1:$C$602,3,FALSE)</f>
        <v>68.2</v>
      </c>
    </row>
    <row r="735" spans="1:9">
      <c r="A735" s="13" t="s">
        <v>1475</v>
      </c>
      <c r="B735" s="14" t="s">
        <v>1476</v>
      </c>
      <c r="C735" s="13">
        <v>1368</v>
      </c>
      <c r="D735" s="7">
        <f>IFERROR(VLOOKUP(A735,'1227-29耗量'!$A$1:$C$602,3,FALSE),0)</f>
        <v>26</v>
      </c>
      <c r="E735" s="7">
        <f t="shared" si="22"/>
        <v>1342</v>
      </c>
      <c r="F735" s="7" t="str">
        <f t="shared" si="23"/>
        <v>無資料</v>
      </c>
      <c r="G735" s="7" t="e">
        <f>VLOOKUP(A735,Sheet5!$A$2:$D$415,4,FALSE)</f>
        <v>#N/A</v>
      </c>
      <c r="H735" s="7" t="e">
        <f>VLOOKUP(A735,Sheet5!$A$2:$D$415,3,FALSE)</f>
        <v>#N/A</v>
      </c>
      <c r="I735" s="7">
        <f>VLOOKUP(A735,'1201-29周均耗用'!$A$1:$C$602,3,FALSE)</f>
        <v>335.5</v>
      </c>
    </row>
    <row r="736" spans="1:9">
      <c r="A736" s="13" t="s">
        <v>1477</v>
      </c>
      <c r="B736" s="14" t="s">
        <v>1478</v>
      </c>
      <c r="C736" s="13">
        <v>3</v>
      </c>
      <c r="D736" s="7">
        <f>IFERROR(VLOOKUP(A736,'1227-29耗量'!$A$1:$C$602,3,FALSE),0)</f>
        <v>0</v>
      </c>
      <c r="E736" s="7">
        <f t="shared" si="22"/>
        <v>3</v>
      </c>
      <c r="F736" s="7" t="str">
        <f t="shared" si="23"/>
        <v>無資料</v>
      </c>
      <c r="G736" s="7" t="e">
        <f>VLOOKUP(A736,Sheet5!$A$2:$D$415,4,FALSE)</f>
        <v>#N/A</v>
      </c>
      <c r="H736" s="7" t="e">
        <f>VLOOKUP(A736,Sheet5!$A$2:$D$415,3,FALSE)</f>
        <v>#N/A</v>
      </c>
      <c r="I736" s="7">
        <f>VLOOKUP(A736,'1201-29周均耗用'!$A$1:$C$602,3,FALSE)</f>
        <v>0.5</v>
      </c>
    </row>
    <row r="737" spans="1:9">
      <c r="A737" s="13" t="s">
        <v>1479</v>
      </c>
      <c r="B737" s="14" t="s">
        <v>1480</v>
      </c>
      <c r="C737" s="13">
        <v>6907</v>
      </c>
      <c r="D737" s="7">
        <f>VLOOKUP(A737,'1227-29耗量'!$A$1:$C$602,3,FALSE)</f>
        <v>367</v>
      </c>
      <c r="E737" s="7">
        <f t="shared" si="22"/>
        <v>6540</v>
      </c>
      <c r="F737" s="7" t="str">
        <f t="shared" si="23"/>
        <v>錯誤</v>
      </c>
      <c r="G737" s="7">
        <f>VLOOKUP(A737,Sheet5!$A$2:$D$415,4,FALSE)</f>
        <v>4261</v>
      </c>
      <c r="H737" s="7">
        <f>VLOOKUP(A737,Sheet5!$A$2:$D$415,3,FALSE)</f>
        <v>7560</v>
      </c>
      <c r="I737" s="7">
        <f>VLOOKUP(A737,'1201-29周均耗用'!$A$1:$C$602,3,FALSE)</f>
        <v>2329</v>
      </c>
    </row>
    <row r="738" spans="1:9">
      <c r="A738" s="13" t="s">
        <v>1481</v>
      </c>
      <c r="B738" s="14" t="s">
        <v>1482</v>
      </c>
      <c r="C738" s="13">
        <v>271</v>
      </c>
      <c r="D738" s="7">
        <f>IFERROR(VLOOKUP(A738,'1227-29耗量'!$A$1:$C$602,3,FALSE),0)</f>
        <v>-14</v>
      </c>
      <c r="E738" s="7">
        <f t="shared" si="22"/>
        <v>285</v>
      </c>
      <c r="F738" s="7" t="str">
        <f t="shared" si="23"/>
        <v>無資料</v>
      </c>
      <c r="G738" s="7" t="e">
        <f>VLOOKUP(A738,Sheet5!$A$2:$D$415,4,FALSE)</f>
        <v>#N/A</v>
      </c>
      <c r="H738" s="7" t="e">
        <f>VLOOKUP(A738,Sheet5!$A$2:$D$415,3,FALSE)</f>
        <v>#N/A</v>
      </c>
      <c r="I738" s="7">
        <f>VLOOKUP(A738,'1201-29周均耗用'!$A$1:$C$602,3,FALSE)</f>
        <v>113.8</v>
      </c>
    </row>
    <row r="739" spans="1:9">
      <c r="A739" s="13" t="s">
        <v>1483</v>
      </c>
      <c r="B739" s="14" t="s">
        <v>1484</v>
      </c>
      <c r="C739" s="13">
        <v>390</v>
      </c>
      <c r="D739" s="7">
        <f>IFERROR(VLOOKUP(A739,'1227-29耗量'!$A$1:$C$602,3,FALSE),0)</f>
        <v>5</v>
      </c>
      <c r="E739" s="7">
        <f t="shared" si="22"/>
        <v>385</v>
      </c>
      <c r="F739" s="7" t="str">
        <f t="shared" si="23"/>
        <v>無資料</v>
      </c>
      <c r="G739" s="7" t="e">
        <f>VLOOKUP(A739,Sheet5!$A$2:$D$415,4,FALSE)</f>
        <v>#N/A</v>
      </c>
      <c r="H739" s="7" t="e">
        <f>VLOOKUP(A739,Sheet5!$A$2:$D$415,3,FALSE)</f>
        <v>#N/A</v>
      </c>
      <c r="I739" s="7">
        <f>VLOOKUP(A739,'1201-29周均耗用'!$A$1:$C$602,3,FALSE)</f>
        <v>39.2</v>
      </c>
    </row>
    <row r="740" spans="1:9">
      <c r="A740" s="13" t="s">
        <v>1485</v>
      </c>
      <c r="B740" s="14" t="s">
        <v>1486</v>
      </c>
      <c r="C740" s="13">
        <v>0</v>
      </c>
      <c r="D740" s="7">
        <f>IFERROR(VLOOKUP(A740,'1227-29耗量'!$A$1:$C$602,3,FALSE),0)</f>
        <v>0</v>
      </c>
      <c r="E740" s="7">
        <f t="shared" si="22"/>
        <v>0</v>
      </c>
      <c r="F740" s="7" t="str">
        <f t="shared" si="23"/>
        <v>無資料</v>
      </c>
      <c r="G740" s="7" t="e">
        <f>VLOOKUP(A740,Sheet5!$A$2:$D$415,4,FALSE)</f>
        <v>#N/A</v>
      </c>
      <c r="H740" s="7" t="e">
        <f>VLOOKUP(A740,Sheet5!$A$2:$D$415,3,FALSE)</f>
        <v>#N/A</v>
      </c>
      <c r="I740" s="7">
        <f>VLOOKUP(A740,'1201-29周均耗用'!$A$1:$C$602,3,FALSE)</f>
        <v>0.5</v>
      </c>
    </row>
    <row r="741" spans="1:9">
      <c r="A741" s="13" t="s">
        <v>1487</v>
      </c>
      <c r="B741" s="14" t="s">
        <v>1488</v>
      </c>
      <c r="C741" s="13">
        <v>0</v>
      </c>
      <c r="D741" s="7">
        <f>IFERROR(VLOOKUP(A741,'1227-29耗量'!$A$1:$C$602,3,FALSE),0)</f>
        <v>0</v>
      </c>
      <c r="E741" s="7">
        <f t="shared" si="22"/>
        <v>0</v>
      </c>
      <c r="F741" s="7" t="str">
        <f t="shared" si="23"/>
        <v>無資料</v>
      </c>
      <c r="G741" s="7" t="e">
        <f>VLOOKUP(A741,Sheet5!$A$2:$D$415,4,FALSE)</f>
        <v>#N/A</v>
      </c>
      <c r="H741" s="7" t="e">
        <f>VLOOKUP(A741,Sheet5!$A$2:$D$415,3,FALSE)</f>
        <v>#N/A</v>
      </c>
      <c r="I741" s="7">
        <f>VLOOKUP(A741,'1201-29周均耗用'!$A$1:$C$602,3,FALSE)</f>
        <v>0.2</v>
      </c>
    </row>
    <row r="742" spans="1:9">
      <c r="A742" s="13" t="s">
        <v>1489</v>
      </c>
      <c r="B742" s="14" t="s">
        <v>1490</v>
      </c>
      <c r="C742" s="13">
        <v>0</v>
      </c>
      <c r="D742" s="7">
        <f>IFERROR(VLOOKUP(A742,'1227-29耗量'!$A$1:$C$602,3,FALSE),0)</f>
        <v>0</v>
      </c>
      <c r="E742" s="7">
        <f t="shared" si="22"/>
        <v>0</v>
      </c>
      <c r="F742" s="7" t="str">
        <f t="shared" si="23"/>
        <v>無資料</v>
      </c>
      <c r="G742" s="7" t="e">
        <f>VLOOKUP(A742,Sheet5!$A$2:$D$415,4,FALSE)</f>
        <v>#N/A</v>
      </c>
      <c r="H742" s="7" t="e">
        <f>VLOOKUP(A742,Sheet5!$A$2:$D$415,3,FALSE)</f>
        <v>#N/A</v>
      </c>
      <c r="I742" s="7" t="e">
        <f>VLOOKUP(A742,'1201-29周均耗用'!$A$1:$C$602,3,FALSE)</f>
        <v>#N/A</v>
      </c>
    </row>
    <row r="743" spans="1:9">
      <c r="A743" s="13" t="s">
        <v>1491</v>
      </c>
      <c r="B743" s="14" t="s">
        <v>1492</v>
      </c>
      <c r="C743" s="13">
        <v>0</v>
      </c>
      <c r="D743" s="7">
        <f>IFERROR(VLOOKUP(A743,'1227-29耗量'!$A$1:$C$602,3,FALSE),0)</f>
        <v>0</v>
      </c>
      <c r="E743" s="7">
        <f t="shared" si="22"/>
        <v>0</v>
      </c>
      <c r="F743" s="7" t="str">
        <f t="shared" si="23"/>
        <v>無資料</v>
      </c>
      <c r="G743" s="7" t="e">
        <f>VLOOKUP(A743,Sheet5!$A$2:$D$415,4,FALSE)</f>
        <v>#N/A</v>
      </c>
      <c r="H743" s="7" t="e">
        <f>VLOOKUP(A743,Sheet5!$A$2:$D$415,3,FALSE)</f>
        <v>#N/A</v>
      </c>
      <c r="I743" s="7">
        <f>VLOOKUP(A743,'1201-29周均耗用'!$A$1:$C$602,3,FALSE)</f>
        <v>1.2</v>
      </c>
    </row>
    <row r="744" spans="1:9">
      <c r="A744" s="13" t="s">
        <v>1493</v>
      </c>
      <c r="B744" s="14" t="s">
        <v>1494</v>
      </c>
      <c r="C744" s="13">
        <v>0</v>
      </c>
      <c r="D744" s="7">
        <f>IFERROR(VLOOKUP(A744,'1227-29耗量'!$A$1:$C$602,3,FALSE),0)</f>
        <v>0</v>
      </c>
      <c r="E744" s="7">
        <f t="shared" si="22"/>
        <v>0</v>
      </c>
      <c r="F744" s="7" t="str">
        <f t="shared" si="23"/>
        <v>無資料</v>
      </c>
      <c r="G744" s="7" t="e">
        <f>VLOOKUP(A744,Sheet5!$A$2:$D$415,4,FALSE)</f>
        <v>#N/A</v>
      </c>
      <c r="H744" s="7" t="e">
        <f>VLOOKUP(A744,Sheet5!$A$2:$D$415,3,FALSE)</f>
        <v>#N/A</v>
      </c>
      <c r="I744" s="7" t="e">
        <f>VLOOKUP(A744,'1201-29周均耗用'!$A$1:$C$602,3,FALSE)</f>
        <v>#N/A</v>
      </c>
    </row>
    <row r="745" spans="1:9">
      <c r="A745" s="13" t="s">
        <v>1495</v>
      </c>
      <c r="B745" s="14" t="s">
        <v>1496</v>
      </c>
      <c r="C745" s="13">
        <v>985</v>
      </c>
      <c r="D745" s="7">
        <f>IFERROR(VLOOKUP(A745,'1227-29耗量'!$A$1:$C$602,3,FALSE),0)</f>
        <v>61</v>
      </c>
      <c r="E745" s="7">
        <f t="shared" si="22"/>
        <v>924</v>
      </c>
      <c r="F745" s="7" t="str">
        <f t="shared" si="23"/>
        <v>無資料</v>
      </c>
      <c r="G745" s="7" t="e">
        <f>VLOOKUP(A745,Sheet5!$A$2:$D$415,4,FALSE)</f>
        <v>#N/A</v>
      </c>
      <c r="H745" s="7" t="e">
        <f>VLOOKUP(A745,Sheet5!$A$2:$D$415,3,FALSE)</f>
        <v>#N/A</v>
      </c>
      <c r="I745" s="7">
        <f>VLOOKUP(A745,'1201-29周均耗用'!$A$1:$C$602,3,FALSE)</f>
        <v>190.5</v>
      </c>
    </row>
    <row r="746" spans="1:9">
      <c r="A746" s="13" t="s">
        <v>1497</v>
      </c>
      <c r="B746" s="14" t="s">
        <v>1498</v>
      </c>
      <c r="C746" s="13">
        <v>313</v>
      </c>
      <c r="D746" s="7">
        <f>VLOOKUP(A746,'1227-29耗量'!$A$1:$C$602,3,FALSE)</f>
        <v>4</v>
      </c>
      <c r="E746" s="7">
        <f t="shared" si="22"/>
        <v>309</v>
      </c>
      <c r="F746" s="7" t="str">
        <f t="shared" si="23"/>
        <v>錯誤</v>
      </c>
      <c r="G746" s="7">
        <f>VLOOKUP(A746,Sheet5!$A$2:$D$415,4,FALSE)</f>
        <v>68</v>
      </c>
      <c r="H746" s="7">
        <f>VLOOKUP(A746,Sheet5!$A$2:$D$415,3,FALSE)</f>
        <v>180</v>
      </c>
      <c r="I746" s="7">
        <f>VLOOKUP(A746,'1201-29周均耗用'!$A$1:$C$602,3,FALSE)</f>
        <v>45.2</v>
      </c>
    </row>
    <row r="747" spans="1:9">
      <c r="A747" s="13" t="s">
        <v>1499</v>
      </c>
      <c r="B747" s="14" t="s">
        <v>1500</v>
      </c>
      <c r="C747" s="13">
        <v>0</v>
      </c>
      <c r="D747" s="7">
        <f>IFERROR(VLOOKUP(A747,'1227-29耗量'!$A$1:$C$602,3,FALSE),0)</f>
        <v>0</v>
      </c>
      <c r="E747" s="7">
        <f t="shared" si="22"/>
        <v>0</v>
      </c>
      <c r="F747" s="7" t="str">
        <f t="shared" si="23"/>
        <v>無資料</v>
      </c>
      <c r="G747" s="7" t="e">
        <f>VLOOKUP(A747,Sheet5!$A$2:$D$415,4,FALSE)</f>
        <v>#N/A</v>
      </c>
      <c r="H747" s="7" t="e">
        <f>VLOOKUP(A747,Sheet5!$A$2:$D$415,3,FALSE)</f>
        <v>#N/A</v>
      </c>
      <c r="I747" s="7" t="e">
        <f>VLOOKUP(A747,'1201-29周均耗用'!$A$1:$C$602,3,FALSE)</f>
        <v>#N/A</v>
      </c>
    </row>
    <row r="748" spans="1:9">
      <c r="A748" s="13" t="s">
        <v>1501</v>
      </c>
      <c r="B748" s="14" t="s">
        <v>1502</v>
      </c>
      <c r="C748" s="13">
        <v>35</v>
      </c>
      <c r="D748" s="7">
        <f>IFERROR(VLOOKUP(A748,'1227-29耗量'!$A$1:$C$602,3,FALSE),0)</f>
        <v>0</v>
      </c>
      <c r="E748" s="7">
        <f t="shared" si="22"/>
        <v>35</v>
      </c>
      <c r="F748" s="7" t="str">
        <f t="shared" si="23"/>
        <v>無資料</v>
      </c>
      <c r="G748" s="7" t="e">
        <f>VLOOKUP(A748,Sheet5!$A$2:$D$415,4,FALSE)</f>
        <v>#N/A</v>
      </c>
      <c r="H748" s="7" t="e">
        <f>VLOOKUP(A748,Sheet5!$A$2:$D$415,3,FALSE)</f>
        <v>#N/A</v>
      </c>
      <c r="I748" s="7" t="e">
        <f>VLOOKUP(A748,'1201-29周均耗用'!$A$1:$C$602,3,FALSE)</f>
        <v>#N/A</v>
      </c>
    </row>
    <row r="749" spans="1:9">
      <c r="A749" s="13" t="s">
        <v>1503</v>
      </c>
      <c r="B749" s="14" t="s">
        <v>1504</v>
      </c>
      <c r="C749" s="13">
        <v>0</v>
      </c>
      <c r="D749" s="7">
        <f>IFERROR(VLOOKUP(A749,'1227-29耗量'!$A$1:$C$602,3,FALSE),0)</f>
        <v>1</v>
      </c>
      <c r="E749" s="7">
        <f t="shared" si="22"/>
        <v>-1</v>
      </c>
      <c r="F749" s="7" t="str">
        <f t="shared" si="23"/>
        <v>無資料</v>
      </c>
      <c r="G749" s="7" t="e">
        <f>VLOOKUP(A749,Sheet5!$A$2:$D$415,4,FALSE)</f>
        <v>#N/A</v>
      </c>
      <c r="H749" s="7" t="e">
        <f>VLOOKUP(A749,Sheet5!$A$2:$D$415,3,FALSE)</f>
        <v>#N/A</v>
      </c>
      <c r="I749" s="7">
        <f>VLOOKUP(A749,'1201-29周均耗用'!$A$1:$C$602,3,FALSE)</f>
        <v>5</v>
      </c>
    </row>
    <row r="750" spans="1:9">
      <c r="A750" s="13" t="s">
        <v>1505</v>
      </c>
      <c r="B750" s="14" t="s">
        <v>1506</v>
      </c>
      <c r="C750" s="13">
        <v>108</v>
      </c>
      <c r="D750" s="7">
        <f>IFERROR(VLOOKUP(A750,'1227-29耗量'!$A$1:$C$602,3,FALSE),0)</f>
        <v>0</v>
      </c>
      <c r="E750" s="7">
        <f t="shared" si="22"/>
        <v>108</v>
      </c>
      <c r="F750" s="7" t="str">
        <f t="shared" si="23"/>
        <v>無資料</v>
      </c>
      <c r="G750" s="7" t="e">
        <f>VLOOKUP(A750,Sheet5!$A$2:$D$415,4,FALSE)</f>
        <v>#N/A</v>
      </c>
      <c r="H750" s="7" t="e">
        <f>VLOOKUP(A750,Sheet5!$A$2:$D$415,3,FALSE)</f>
        <v>#N/A</v>
      </c>
      <c r="I750" s="7" t="e">
        <f>VLOOKUP(A750,'1201-29周均耗用'!$A$1:$C$602,3,FALSE)</f>
        <v>#N/A</v>
      </c>
    </row>
    <row r="751" spans="1:9">
      <c r="A751" s="13" t="s">
        <v>1507</v>
      </c>
      <c r="B751" s="14" t="s">
        <v>1508</v>
      </c>
      <c r="C751" s="13">
        <v>246</v>
      </c>
      <c r="D751" s="7">
        <f>VLOOKUP(A751,'1227-29耗量'!$A$1:$C$602,3,FALSE)</f>
        <v>28</v>
      </c>
      <c r="E751" s="7">
        <f t="shared" si="22"/>
        <v>218</v>
      </c>
      <c r="F751" s="7" t="str">
        <f t="shared" si="23"/>
        <v>錯誤</v>
      </c>
      <c r="G751" s="7">
        <f>VLOOKUP(A751,Sheet5!$A$2:$D$415,4,FALSE)</f>
        <v>186</v>
      </c>
      <c r="H751" s="7">
        <f>VLOOKUP(A751,Sheet5!$A$2:$D$415,3,FALSE)</f>
        <v>168</v>
      </c>
      <c r="I751" s="7">
        <f>VLOOKUP(A751,'1201-29周均耗用'!$A$1:$C$602,3,FALSE)</f>
        <v>85.8</v>
      </c>
    </row>
    <row r="752" spans="1:9">
      <c r="A752" s="13" t="s">
        <v>1509</v>
      </c>
      <c r="B752" s="14" t="s">
        <v>1510</v>
      </c>
      <c r="C752" s="13">
        <v>422</v>
      </c>
      <c r="D752" s="7">
        <f>IFERROR(VLOOKUP(A752,'1227-29耗量'!$A$1:$C$602,3,FALSE),0)</f>
        <v>0</v>
      </c>
      <c r="E752" s="7">
        <f t="shared" si="22"/>
        <v>422</v>
      </c>
      <c r="F752" s="7" t="str">
        <f t="shared" si="23"/>
        <v>無資料</v>
      </c>
      <c r="G752" s="7" t="e">
        <f>VLOOKUP(A752,Sheet5!$A$2:$D$415,4,FALSE)</f>
        <v>#N/A</v>
      </c>
      <c r="H752" s="7" t="e">
        <f>VLOOKUP(A752,Sheet5!$A$2:$D$415,3,FALSE)</f>
        <v>#N/A</v>
      </c>
      <c r="I752" s="7">
        <f>VLOOKUP(A752,'1201-29周均耗用'!$A$1:$C$602,3,FALSE)</f>
        <v>8</v>
      </c>
    </row>
    <row r="753" spans="1:9">
      <c r="A753" s="13" t="s">
        <v>1511</v>
      </c>
      <c r="B753" s="14" t="s">
        <v>1512</v>
      </c>
      <c r="C753" s="13">
        <v>457</v>
      </c>
      <c r="D753" s="7">
        <f>VLOOKUP(A753,'1227-29耗量'!$A$1:$C$602,3,FALSE)</f>
        <v>138</v>
      </c>
      <c r="E753" s="7">
        <f t="shared" si="22"/>
        <v>319</v>
      </c>
      <c r="F753" s="7" t="str">
        <f t="shared" si="23"/>
        <v>錯誤</v>
      </c>
      <c r="G753" s="7">
        <f>VLOOKUP(A753,Sheet5!$A$2:$D$415,4,FALSE)</f>
        <v>-717</v>
      </c>
      <c r="H753" s="7">
        <f>VLOOKUP(A753,Sheet5!$A$2:$D$415,3,FALSE)</f>
        <v>1200</v>
      </c>
      <c r="I753" s="7">
        <f>VLOOKUP(A753,'1201-29周均耗用'!$A$1:$C$602,3,FALSE)</f>
        <v>506.2</v>
      </c>
    </row>
    <row r="754" spans="1:9">
      <c r="A754" s="13" t="s">
        <v>1513</v>
      </c>
      <c r="B754" s="14" t="s">
        <v>1514</v>
      </c>
      <c r="C754" s="13">
        <v>0</v>
      </c>
      <c r="D754" s="7">
        <f>IFERROR(VLOOKUP(A754,'1227-29耗量'!$A$1:$C$602,3,FALSE),0)</f>
        <v>0</v>
      </c>
      <c r="E754" s="7">
        <f t="shared" si="22"/>
        <v>0</v>
      </c>
      <c r="F754" s="7" t="str">
        <f t="shared" si="23"/>
        <v>無資料</v>
      </c>
      <c r="G754" s="7" t="e">
        <f>VLOOKUP(A754,Sheet5!$A$2:$D$415,4,FALSE)</f>
        <v>#N/A</v>
      </c>
      <c r="H754" s="7" t="e">
        <f>VLOOKUP(A754,Sheet5!$A$2:$D$415,3,FALSE)</f>
        <v>#N/A</v>
      </c>
      <c r="I754" s="7">
        <f>VLOOKUP(A754,'1201-29周均耗用'!$A$1:$C$602,3,FALSE)</f>
        <v>-0.2</v>
      </c>
    </row>
    <row r="755" spans="1:9">
      <c r="A755" s="13" t="s">
        <v>1515</v>
      </c>
      <c r="B755" s="14" t="s">
        <v>1516</v>
      </c>
      <c r="C755" s="13">
        <v>11</v>
      </c>
      <c r="D755" s="7">
        <f>VLOOKUP(A755,'1227-29耗量'!$A$1:$C$602,3,FALSE)</f>
        <v>1</v>
      </c>
      <c r="E755" s="7">
        <f t="shared" si="22"/>
        <v>10</v>
      </c>
      <c r="F755" s="7" t="str">
        <f t="shared" si="23"/>
        <v>錯誤</v>
      </c>
      <c r="G755" s="7">
        <f>VLOOKUP(A755,Sheet5!$A$2:$D$415,4,FALSE)</f>
        <v>7</v>
      </c>
      <c r="H755" s="7">
        <f>VLOOKUP(A755,Sheet5!$A$2:$D$415,3,FALSE)</f>
        <v>10</v>
      </c>
      <c r="I755" s="7">
        <f>VLOOKUP(A755,'1201-29周均耗用'!$A$1:$C$602,3,FALSE)</f>
        <v>4.5</v>
      </c>
    </row>
    <row r="756" spans="1:9">
      <c r="A756" s="13" t="s">
        <v>1517</v>
      </c>
      <c r="B756" s="14" t="s">
        <v>1518</v>
      </c>
      <c r="C756" s="13">
        <v>864</v>
      </c>
      <c r="D756" s="7">
        <f>VLOOKUP(A756,'1227-29耗量'!$A$1:$C$602,3,FALSE)</f>
        <v>3</v>
      </c>
      <c r="E756" s="7">
        <f t="shared" si="22"/>
        <v>861</v>
      </c>
      <c r="F756" s="7" t="str">
        <f t="shared" si="23"/>
        <v>錯誤</v>
      </c>
      <c r="G756" s="7">
        <f>VLOOKUP(A756,Sheet5!$A$2:$D$415,4,FALSE)</f>
        <v>433</v>
      </c>
      <c r="H756" s="7">
        <f>VLOOKUP(A756,Sheet5!$A$2:$D$415,3,FALSE)</f>
        <v>500</v>
      </c>
      <c r="I756" s="7">
        <f>VLOOKUP(A756,'1201-29周均耗用'!$A$1:$C$602,3,FALSE)</f>
        <v>81.5</v>
      </c>
    </row>
    <row r="757" spans="1:9">
      <c r="A757" s="13" t="s">
        <v>1519</v>
      </c>
      <c r="B757" s="14" t="s">
        <v>1520</v>
      </c>
      <c r="C757" s="13">
        <v>0</v>
      </c>
      <c r="D757" s="7">
        <f>IFERROR(VLOOKUP(A757,'1227-29耗量'!$A$1:$C$602,3,FALSE),0)</f>
        <v>0</v>
      </c>
      <c r="E757" s="7">
        <f t="shared" si="22"/>
        <v>0</v>
      </c>
      <c r="F757" s="7" t="str">
        <f t="shared" si="23"/>
        <v>無資料</v>
      </c>
      <c r="G757" s="7" t="e">
        <f>VLOOKUP(A757,Sheet5!$A$2:$D$415,4,FALSE)</f>
        <v>#N/A</v>
      </c>
      <c r="H757" s="7" t="e">
        <f>VLOOKUP(A757,Sheet5!$A$2:$D$415,3,FALSE)</f>
        <v>#N/A</v>
      </c>
      <c r="I757" s="7" t="e">
        <f>VLOOKUP(A757,'1201-29周均耗用'!$A$1:$C$602,3,FALSE)</f>
        <v>#N/A</v>
      </c>
    </row>
    <row r="758" spans="1:9">
      <c r="A758" s="13" t="s">
        <v>1521</v>
      </c>
      <c r="B758" s="14" t="s">
        <v>1522</v>
      </c>
      <c r="C758" s="13">
        <v>156</v>
      </c>
      <c r="D758" s="7">
        <f>VLOOKUP(A758,'1227-29耗量'!$A$1:$C$602,3,FALSE)</f>
        <v>10</v>
      </c>
      <c r="E758" s="7">
        <f t="shared" si="22"/>
        <v>146</v>
      </c>
      <c r="F758" s="7" t="str">
        <f t="shared" si="23"/>
        <v>錯誤</v>
      </c>
      <c r="G758" s="7">
        <f>VLOOKUP(A758,Sheet5!$A$2:$D$415,4,FALSE)</f>
        <v>167</v>
      </c>
      <c r="H758" s="7">
        <f>VLOOKUP(A758,Sheet5!$A$2:$D$415,3,FALSE)</f>
        <v>300</v>
      </c>
      <c r="I758" s="7">
        <f>VLOOKUP(A758,'1201-29周均耗用'!$A$1:$C$602,3,FALSE)</f>
        <v>23.8</v>
      </c>
    </row>
    <row r="759" spans="1:9">
      <c r="A759" s="13" t="s">
        <v>1523</v>
      </c>
      <c r="B759" s="14" t="s">
        <v>1524</v>
      </c>
      <c r="C759" s="13">
        <v>0</v>
      </c>
      <c r="D759" s="7">
        <f>IFERROR(VLOOKUP(A759,'1227-29耗量'!$A$1:$C$602,3,FALSE),0)</f>
        <v>0</v>
      </c>
      <c r="E759" s="7">
        <f t="shared" si="22"/>
        <v>0</v>
      </c>
      <c r="F759" s="7" t="str">
        <f t="shared" si="23"/>
        <v>無資料</v>
      </c>
      <c r="G759" s="7" t="e">
        <f>VLOOKUP(A759,Sheet5!$A$2:$D$415,4,FALSE)</f>
        <v>#N/A</v>
      </c>
      <c r="H759" s="7" t="e">
        <f>VLOOKUP(A759,Sheet5!$A$2:$D$415,3,FALSE)</f>
        <v>#N/A</v>
      </c>
      <c r="I759" s="7" t="e">
        <f>VLOOKUP(A759,'1201-29周均耗用'!$A$1:$C$602,3,FALSE)</f>
        <v>#N/A</v>
      </c>
    </row>
    <row r="760" spans="1:9">
      <c r="A760" s="13" t="s">
        <v>1525</v>
      </c>
      <c r="B760" s="14" t="s">
        <v>1526</v>
      </c>
      <c r="C760" s="13">
        <v>5</v>
      </c>
      <c r="D760" s="7">
        <f>IFERROR(VLOOKUP(A760,'1227-29耗量'!$A$1:$C$602,3,FALSE),0)</f>
        <v>0</v>
      </c>
      <c r="E760" s="7">
        <f t="shared" si="22"/>
        <v>5</v>
      </c>
      <c r="F760" s="7" t="str">
        <f t="shared" si="23"/>
        <v>錯誤</v>
      </c>
      <c r="G760" s="7">
        <f>VLOOKUP(A760,Sheet5!$A$2:$D$415,4,FALSE)</f>
        <v>0</v>
      </c>
      <c r="H760" s="7">
        <f>VLOOKUP(A760,Sheet5!$A$2:$D$415,3,FALSE)</f>
        <v>5</v>
      </c>
      <c r="I760" s="7">
        <f>VLOOKUP(A760,'1201-29周均耗用'!$A$1:$C$602,3,FALSE)</f>
        <v>1.5</v>
      </c>
    </row>
    <row r="761" spans="1:9">
      <c r="A761" s="13" t="s">
        <v>1527</v>
      </c>
      <c r="B761" s="14" t="s">
        <v>1528</v>
      </c>
      <c r="C761" s="13">
        <v>0</v>
      </c>
      <c r="D761" s="7">
        <f>IFERROR(VLOOKUP(A761,'1227-29耗量'!$A$1:$C$602,3,FALSE),0)</f>
        <v>0</v>
      </c>
      <c r="E761" s="7">
        <f t="shared" si="22"/>
        <v>0</v>
      </c>
      <c r="F761" s="7" t="str">
        <f t="shared" si="23"/>
        <v>無資料</v>
      </c>
      <c r="G761" s="7" t="e">
        <f>VLOOKUP(A761,Sheet5!$A$2:$D$415,4,FALSE)</f>
        <v>#N/A</v>
      </c>
      <c r="H761" s="7" t="e">
        <f>VLOOKUP(A761,Sheet5!$A$2:$D$415,3,FALSE)</f>
        <v>#N/A</v>
      </c>
      <c r="I761" s="7" t="e">
        <f>VLOOKUP(A761,'1201-29周均耗用'!$A$1:$C$602,3,FALSE)</f>
        <v>#N/A</v>
      </c>
    </row>
    <row r="762" spans="1:9">
      <c r="A762" s="13" t="s">
        <v>1529</v>
      </c>
      <c r="B762" s="14" t="s">
        <v>1530</v>
      </c>
      <c r="C762" s="13">
        <v>258</v>
      </c>
      <c r="D762" s="7">
        <f>IFERROR(VLOOKUP(A762,'1227-29耗量'!$A$1:$C$602,3,FALSE),0)</f>
        <v>30</v>
      </c>
      <c r="E762" s="7">
        <f t="shared" si="22"/>
        <v>228</v>
      </c>
      <c r="F762" s="7" t="str">
        <f t="shared" si="23"/>
        <v>無資料</v>
      </c>
      <c r="G762" s="7" t="e">
        <f>VLOOKUP(A762,Sheet5!$A$2:$D$415,4,FALSE)</f>
        <v>#N/A</v>
      </c>
      <c r="H762" s="7" t="e">
        <f>VLOOKUP(A762,Sheet5!$A$2:$D$415,3,FALSE)</f>
        <v>#N/A</v>
      </c>
      <c r="I762" s="7">
        <f>VLOOKUP(A762,'1201-29周均耗用'!$A$1:$C$602,3,FALSE)</f>
        <v>167.5</v>
      </c>
    </row>
    <row r="763" spans="1:9">
      <c r="A763" s="13" t="s">
        <v>1531</v>
      </c>
      <c r="B763" s="14" t="s">
        <v>1532</v>
      </c>
      <c r="C763" s="13">
        <v>175</v>
      </c>
      <c r="D763" s="7">
        <f>VLOOKUP(A763,'1227-29耗量'!$A$1:$C$602,3,FALSE)</f>
        <v>13</v>
      </c>
      <c r="E763" s="7">
        <f t="shared" si="22"/>
        <v>162</v>
      </c>
      <c r="F763" s="7" t="str">
        <f t="shared" si="23"/>
        <v>錯誤</v>
      </c>
      <c r="G763" s="7">
        <f>VLOOKUP(A763,Sheet5!$A$2:$D$415,4,FALSE)</f>
        <v>-59</v>
      </c>
      <c r="H763" s="7">
        <f>VLOOKUP(A763,Sheet5!$A$2:$D$415,3,FALSE)</f>
        <v>100</v>
      </c>
      <c r="I763" s="7" t="e">
        <f>VLOOKUP(A763,'1201-29周均耗用'!$A$1:$C$602,3,FALSE)</f>
        <v>#N/A</v>
      </c>
    </row>
    <row r="764" spans="1:9">
      <c r="A764" s="13" t="s">
        <v>1533</v>
      </c>
      <c r="B764" s="14" t="s">
        <v>1534</v>
      </c>
      <c r="C764" s="13">
        <v>3</v>
      </c>
      <c r="D764" s="7">
        <f>IFERROR(VLOOKUP(A764,'1227-29耗量'!$A$1:$C$602,3,FALSE),0)</f>
        <v>0</v>
      </c>
      <c r="E764" s="7">
        <f t="shared" si="22"/>
        <v>3</v>
      </c>
      <c r="F764" s="7" t="str">
        <f t="shared" si="23"/>
        <v>無資料</v>
      </c>
      <c r="G764" s="7" t="e">
        <f>VLOOKUP(A764,Sheet5!$A$2:$D$415,4,FALSE)</f>
        <v>#N/A</v>
      </c>
      <c r="H764" s="7" t="e">
        <f>VLOOKUP(A764,Sheet5!$A$2:$D$415,3,FALSE)</f>
        <v>#N/A</v>
      </c>
      <c r="I764" s="7" t="e">
        <f>VLOOKUP(A764,'1201-29周均耗用'!$A$1:$C$602,3,FALSE)</f>
        <v>#N/A</v>
      </c>
    </row>
    <row r="765" spans="1:9">
      <c r="A765" s="13" t="s">
        <v>1535</v>
      </c>
      <c r="B765" s="14" t="s">
        <v>1536</v>
      </c>
      <c r="C765" s="13">
        <v>258</v>
      </c>
      <c r="D765" s="7">
        <f>IFERROR(VLOOKUP(A765,'1227-29耗量'!$A$1:$C$602,3,FALSE),0)</f>
        <v>0</v>
      </c>
      <c r="E765" s="7">
        <f t="shared" si="22"/>
        <v>258</v>
      </c>
      <c r="F765" s="7" t="str">
        <f t="shared" si="23"/>
        <v>無資料</v>
      </c>
      <c r="G765" s="7" t="e">
        <f>VLOOKUP(A765,Sheet5!$A$2:$D$415,4,FALSE)</f>
        <v>#N/A</v>
      </c>
      <c r="H765" s="7" t="e">
        <f>VLOOKUP(A765,Sheet5!$A$2:$D$415,3,FALSE)</f>
        <v>#N/A</v>
      </c>
      <c r="I765" s="7">
        <f>VLOOKUP(A765,'1201-29周均耗用'!$A$1:$C$602,3,FALSE)</f>
        <v>10.5</v>
      </c>
    </row>
    <row r="766" spans="1:9">
      <c r="A766" s="13" t="s">
        <v>1537</v>
      </c>
      <c r="B766" s="14" t="s">
        <v>1538</v>
      </c>
      <c r="C766" s="13">
        <v>0</v>
      </c>
      <c r="D766" s="7">
        <f>IFERROR(VLOOKUP(A766,'1227-29耗量'!$A$1:$C$602,3,FALSE),0)</f>
        <v>0</v>
      </c>
      <c r="E766" s="7">
        <f t="shared" si="22"/>
        <v>0</v>
      </c>
      <c r="F766" s="7" t="str">
        <f t="shared" si="23"/>
        <v>無資料</v>
      </c>
      <c r="G766" s="7" t="e">
        <f>VLOOKUP(A766,Sheet5!$A$2:$D$415,4,FALSE)</f>
        <v>#N/A</v>
      </c>
      <c r="H766" s="7" t="e">
        <f>VLOOKUP(A766,Sheet5!$A$2:$D$415,3,FALSE)</f>
        <v>#N/A</v>
      </c>
      <c r="I766" s="7" t="e">
        <f>VLOOKUP(A766,'1201-29周均耗用'!$A$1:$C$602,3,FALSE)</f>
        <v>#N/A</v>
      </c>
    </row>
    <row r="767" spans="1:9">
      <c r="A767" s="13" t="s">
        <v>1539</v>
      </c>
      <c r="B767" s="14" t="s">
        <v>1540</v>
      </c>
      <c r="C767" s="13">
        <v>211</v>
      </c>
      <c r="D767" s="7">
        <f>IFERROR(VLOOKUP(A767,'1227-29耗量'!$A$1:$C$602,3,FALSE),0)</f>
        <v>0</v>
      </c>
      <c r="E767" s="7">
        <f t="shared" si="22"/>
        <v>211</v>
      </c>
      <c r="F767" s="7" t="str">
        <f t="shared" si="23"/>
        <v>無資料</v>
      </c>
      <c r="G767" s="7" t="e">
        <f>VLOOKUP(A767,Sheet5!$A$2:$D$415,4,FALSE)</f>
        <v>#N/A</v>
      </c>
      <c r="H767" s="7" t="e">
        <f>VLOOKUP(A767,Sheet5!$A$2:$D$415,3,FALSE)</f>
        <v>#N/A</v>
      </c>
      <c r="I767" s="7">
        <f>VLOOKUP(A767,'1201-29周均耗用'!$A$1:$C$602,3,FALSE)</f>
        <v>64.2</v>
      </c>
    </row>
    <row r="768" spans="1:9">
      <c r="A768" s="13" t="s">
        <v>1541</v>
      </c>
      <c r="B768" s="14" t="s">
        <v>1542</v>
      </c>
      <c r="C768" s="13">
        <v>0</v>
      </c>
      <c r="D768" s="7">
        <f>IFERROR(VLOOKUP(A768,'1227-29耗量'!$A$1:$C$602,3,FALSE),0)</f>
        <v>0</v>
      </c>
      <c r="E768" s="7">
        <f t="shared" si="22"/>
        <v>0</v>
      </c>
      <c r="F768" s="7" t="str">
        <f t="shared" si="23"/>
        <v>無資料</v>
      </c>
      <c r="G768" s="7" t="e">
        <f>VLOOKUP(A768,Sheet5!$A$2:$D$415,4,FALSE)</f>
        <v>#N/A</v>
      </c>
      <c r="H768" s="7" t="e">
        <f>VLOOKUP(A768,Sheet5!$A$2:$D$415,3,FALSE)</f>
        <v>#N/A</v>
      </c>
      <c r="I768" s="7" t="e">
        <f>VLOOKUP(A768,'1201-29周均耗用'!$A$1:$C$602,3,FALSE)</f>
        <v>#N/A</v>
      </c>
    </row>
    <row r="769" spans="1:9">
      <c r="A769" s="13" t="s">
        <v>1543</v>
      </c>
      <c r="B769" s="14" t="s">
        <v>1544</v>
      </c>
      <c r="C769" s="13">
        <v>14</v>
      </c>
      <c r="D769" s="7">
        <f>IFERROR(VLOOKUP(A769,'1227-29耗量'!$A$1:$C$602,3,FALSE),0)</f>
        <v>0</v>
      </c>
      <c r="E769" s="7">
        <f t="shared" si="22"/>
        <v>14</v>
      </c>
      <c r="F769" s="7" t="str">
        <f t="shared" si="23"/>
        <v>無資料</v>
      </c>
      <c r="G769" s="7" t="e">
        <f>VLOOKUP(A769,Sheet5!$A$2:$D$415,4,FALSE)</f>
        <v>#N/A</v>
      </c>
      <c r="H769" s="7" t="e">
        <f>VLOOKUP(A769,Sheet5!$A$2:$D$415,3,FALSE)</f>
        <v>#N/A</v>
      </c>
      <c r="I769" s="7">
        <f>VLOOKUP(A769,'1201-29周均耗用'!$A$1:$C$602,3,FALSE)</f>
        <v>3</v>
      </c>
    </row>
    <row r="770" spans="1:9">
      <c r="A770" s="13" t="s">
        <v>1545</v>
      </c>
      <c r="B770" s="14" t="s">
        <v>1546</v>
      </c>
      <c r="C770" s="13">
        <v>46</v>
      </c>
      <c r="D770" s="7">
        <f>VLOOKUP(A770,'1227-29耗量'!$A$1:$C$602,3,FALSE)</f>
        <v>6</v>
      </c>
      <c r="E770" s="7">
        <f t="shared" si="22"/>
        <v>40</v>
      </c>
      <c r="F770" s="7" t="str">
        <f t="shared" si="23"/>
        <v>錯誤</v>
      </c>
      <c r="G770" s="7">
        <f>VLOOKUP(A770,Sheet5!$A$2:$D$415,4,FALSE)</f>
        <v>49</v>
      </c>
      <c r="H770" s="7">
        <f>VLOOKUP(A770,Sheet5!$A$2:$D$415,3,FALSE)</f>
        <v>100</v>
      </c>
      <c r="I770" s="7">
        <f>VLOOKUP(A770,'1201-29周均耗用'!$A$1:$C$602,3,FALSE)</f>
        <v>33.5</v>
      </c>
    </row>
    <row r="771" spans="1:9">
      <c r="A771" s="13" t="s">
        <v>1547</v>
      </c>
      <c r="B771" s="14" t="s">
        <v>1548</v>
      </c>
      <c r="C771" s="13">
        <v>193</v>
      </c>
      <c r="D771" s="7">
        <f>IFERROR(VLOOKUP(A771,'1227-29耗量'!$A$1:$C$602,3,FALSE),0)</f>
        <v>0</v>
      </c>
      <c r="E771" s="7">
        <f t="shared" ref="E771:E834" si="24">C771-D771</f>
        <v>193</v>
      </c>
      <c r="F771" s="7" t="str">
        <f t="shared" ref="F771:F834" si="25">IFERROR(IF(E771=G771,"OK","錯誤"),"無資料")</f>
        <v>錯誤</v>
      </c>
      <c r="G771" s="7">
        <f>VLOOKUP(A771,Sheet5!$A$2:$D$415,4,FALSE)</f>
        <v>53</v>
      </c>
      <c r="H771" s="7">
        <f>VLOOKUP(A771,Sheet5!$A$2:$D$415,3,FALSE)</f>
        <v>360</v>
      </c>
      <c r="I771" s="7">
        <f>VLOOKUP(A771,'1201-29周均耗用'!$A$1:$C$602,3,FALSE)</f>
        <v>101.5</v>
      </c>
    </row>
    <row r="772" spans="1:9">
      <c r="A772" s="13" t="s">
        <v>1549</v>
      </c>
      <c r="B772" s="14" t="s">
        <v>1550</v>
      </c>
      <c r="C772" s="13">
        <v>11</v>
      </c>
      <c r="D772" s="7">
        <f>IFERROR(VLOOKUP(A772,'1227-29耗量'!$A$1:$C$602,3,FALSE),0)</f>
        <v>2</v>
      </c>
      <c r="E772" s="7">
        <f t="shared" si="24"/>
        <v>9</v>
      </c>
      <c r="F772" s="7" t="str">
        <f t="shared" si="25"/>
        <v>無資料</v>
      </c>
      <c r="G772" s="7" t="e">
        <f>VLOOKUP(A772,Sheet5!$A$2:$D$415,4,FALSE)</f>
        <v>#N/A</v>
      </c>
      <c r="H772" s="7" t="e">
        <f>VLOOKUP(A772,Sheet5!$A$2:$D$415,3,FALSE)</f>
        <v>#N/A</v>
      </c>
      <c r="I772" s="7">
        <f>VLOOKUP(A772,'1201-29周均耗用'!$A$1:$C$602,3,FALSE)</f>
        <v>1.2</v>
      </c>
    </row>
    <row r="773" spans="1:9">
      <c r="A773" s="13" t="s">
        <v>1551</v>
      </c>
      <c r="B773" s="14" t="s">
        <v>1552</v>
      </c>
      <c r="C773" s="13">
        <v>20</v>
      </c>
      <c r="D773" s="7">
        <f>IFERROR(VLOOKUP(A773,'1227-29耗量'!$A$1:$C$602,3,FALSE),0)</f>
        <v>1</v>
      </c>
      <c r="E773" s="7">
        <f t="shared" si="24"/>
        <v>19</v>
      </c>
      <c r="F773" s="7" t="str">
        <f t="shared" si="25"/>
        <v>無資料</v>
      </c>
      <c r="G773" s="7" t="e">
        <f>VLOOKUP(A773,Sheet5!$A$2:$D$415,4,FALSE)</f>
        <v>#N/A</v>
      </c>
      <c r="H773" s="7" t="e">
        <f>VLOOKUP(A773,Sheet5!$A$2:$D$415,3,FALSE)</f>
        <v>#N/A</v>
      </c>
      <c r="I773" s="7" t="e">
        <f>VLOOKUP(A773,'1201-29周均耗用'!$A$1:$C$602,3,FALSE)</f>
        <v>#N/A</v>
      </c>
    </row>
    <row r="774" spans="1:9">
      <c r="A774" s="13" t="s">
        <v>1553</v>
      </c>
      <c r="B774" s="14" t="s">
        <v>1554</v>
      </c>
      <c r="C774" s="13">
        <v>996</v>
      </c>
      <c r="D774" s="7">
        <f>IFERROR(VLOOKUP(A774,'1227-29耗量'!$A$1:$C$602,3,FALSE),0)</f>
        <v>14</v>
      </c>
      <c r="E774" s="7">
        <f t="shared" si="24"/>
        <v>982</v>
      </c>
      <c r="F774" s="7" t="str">
        <f t="shared" si="25"/>
        <v>無資料</v>
      </c>
      <c r="G774" s="7" t="e">
        <f>VLOOKUP(A774,Sheet5!$A$2:$D$415,4,FALSE)</f>
        <v>#N/A</v>
      </c>
      <c r="H774" s="7" t="e">
        <f>VLOOKUP(A774,Sheet5!$A$2:$D$415,3,FALSE)</f>
        <v>#N/A</v>
      </c>
      <c r="I774" s="7">
        <f>VLOOKUP(A774,'1201-29周均耗用'!$A$1:$C$602,3,FALSE)</f>
        <v>161.2</v>
      </c>
    </row>
    <row r="775" spans="1:9">
      <c r="A775" s="13" t="s">
        <v>1555</v>
      </c>
      <c r="B775" s="14" t="s">
        <v>1556</v>
      </c>
      <c r="C775" s="13">
        <v>19</v>
      </c>
      <c r="D775" s="7">
        <f>IFERROR(VLOOKUP(A775,'1227-29耗量'!$A$1:$C$602,3,FALSE),0)</f>
        <v>0</v>
      </c>
      <c r="E775" s="7">
        <f t="shared" si="24"/>
        <v>19</v>
      </c>
      <c r="F775" s="7" t="str">
        <f t="shared" si="25"/>
        <v>無資料</v>
      </c>
      <c r="G775" s="7" t="e">
        <f>VLOOKUP(A775,Sheet5!$A$2:$D$415,4,FALSE)</f>
        <v>#N/A</v>
      </c>
      <c r="H775" s="7" t="e">
        <f>VLOOKUP(A775,Sheet5!$A$2:$D$415,3,FALSE)</f>
        <v>#N/A</v>
      </c>
      <c r="I775" s="7" t="e">
        <f>VLOOKUP(A775,'1201-29周均耗用'!$A$1:$C$602,3,FALSE)</f>
        <v>#N/A</v>
      </c>
    </row>
    <row r="776" spans="1:9">
      <c r="A776" s="13" t="s">
        <v>1557</v>
      </c>
      <c r="B776" s="14" t="s">
        <v>1558</v>
      </c>
      <c r="C776" s="13">
        <v>564</v>
      </c>
      <c r="D776" s="7">
        <f>VLOOKUP(A776,'1227-29耗量'!$A$1:$C$602,3,FALSE)</f>
        <v>92</v>
      </c>
      <c r="E776" s="7">
        <f t="shared" si="24"/>
        <v>472</v>
      </c>
      <c r="F776" s="7" t="str">
        <f t="shared" si="25"/>
        <v>錯誤</v>
      </c>
      <c r="G776" s="7">
        <f>VLOOKUP(A776,Sheet5!$A$2:$D$415,4,FALSE)</f>
        <v>759</v>
      </c>
      <c r="H776" s="7">
        <f>VLOOKUP(A776,Sheet5!$A$2:$D$415,3,FALSE)</f>
        <v>600</v>
      </c>
      <c r="I776" s="7">
        <f>VLOOKUP(A776,'1201-29周均耗用'!$A$1:$C$602,3,FALSE)</f>
        <v>577.8</v>
      </c>
    </row>
    <row r="777" spans="1:9">
      <c r="A777" s="13" t="s">
        <v>1559</v>
      </c>
      <c r="B777" s="14" t="s">
        <v>1560</v>
      </c>
      <c r="C777" s="13">
        <v>250</v>
      </c>
      <c r="D777" s="7">
        <f>VLOOKUP(A777,'1227-29耗量'!$A$1:$C$602,3,FALSE)</f>
        <v>3</v>
      </c>
      <c r="E777" s="7">
        <f t="shared" si="24"/>
        <v>247</v>
      </c>
      <c r="F777" s="7" t="str">
        <f t="shared" si="25"/>
        <v>錯誤</v>
      </c>
      <c r="G777" s="7">
        <f>VLOOKUP(A777,Sheet5!$A$2:$D$415,4,FALSE)</f>
        <v>88</v>
      </c>
      <c r="H777" s="7">
        <f>VLOOKUP(A777,Sheet5!$A$2:$D$415,3,FALSE)</f>
        <v>100</v>
      </c>
      <c r="I777" s="7">
        <f>VLOOKUP(A777,'1201-29周均耗用'!$A$1:$C$602,3,FALSE)</f>
        <v>28.2</v>
      </c>
    </row>
    <row r="778" spans="1:9">
      <c r="A778" s="13" t="s">
        <v>1561</v>
      </c>
      <c r="B778" s="14" t="s">
        <v>1562</v>
      </c>
      <c r="C778" s="13">
        <v>1339</v>
      </c>
      <c r="D778" s="7">
        <f>VLOOKUP(A778,'1227-29耗量'!$A$1:$C$602,3,FALSE)</f>
        <v>10</v>
      </c>
      <c r="E778" s="7">
        <f t="shared" si="24"/>
        <v>1329</v>
      </c>
      <c r="F778" s="7" t="str">
        <f t="shared" si="25"/>
        <v>錯誤</v>
      </c>
      <c r="G778" s="7">
        <f>VLOOKUP(A778,Sheet5!$A$2:$D$415,4,FALSE)</f>
        <v>381</v>
      </c>
      <c r="H778" s="7">
        <f>VLOOKUP(A778,Sheet5!$A$2:$D$415,3,FALSE)</f>
        <v>980</v>
      </c>
      <c r="I778" s="7">
        <f>VLOOKUP(A778,'1201-29周均耗用'!$A$1:$C$602,3,FALSE)</f>
        <v>154</v>
      </c>
    </row>
    <row r="779" spans="1:9">
      <c r="A779" s="13" t="s">
        <v>1563</v>
      </c>
      <c r="B779" s="14" t="s">
        <v>1564</v>
      </c>
      <c r="C779" s="13">
        <v>10</v>
      </c>
      <c r="D779" s="7">
        <f>IFERROR(VLOOKUP(A779,'1227-29耗量'!$A$1:$C$602,3,FALSE),0)</f>
        <v>0</v>
      </c>
      <c r="E779" s="7">
        <f t="shared" si="24"/>
        <v>10</v>
      </c>
      <c r="F779" s="7" t="str">
        <f t="shared" si="25"/>
        <v>無資料</v>
      </c>
      <c r="G779" s="7" t="e">
        <f>VLOOKUP(A779,Sheet5!$A$2:$D$415,4,FALSE)</f>
        <v>#N/A</v>
      </c>
      <c r="H779" s="7" t="e">
        <f>VLOOKUP(A779,Sheet5!$A$2:$D$415,3,FALSE)</f>
        <v>#N/A</v>
      </c>
      <c r="I779" s="7" t="e">
        <f>VLOOKUP(A779,'1201-29周均耗用'!$A$1:$C$602,3,FALSE)</f>
        <v>#N/A</v>
      </c>
    </row>
    <row r="780" spans="1:9">
      <c r="A780" s="13" t="s">
        <v>1565</v>
      </c>
      <c r="B780" s="14" t="s">
        <v>1566</v>
      </c>
      <c r="C780" s="13">
        <v>0</v>
      </c>
      <c r="D780" s="7">
        <f>IFERROR(VLOOKUP(A780,'1227-29耗量'!$A$1:$C$602,3,FALSE),0)</f>
        <v>0</v>
      </c>
      <c r="E780" s="7">
        <f t="shared" si="24"/>
        <v>0</v>
      </c>
      <c r="F780" s="7" t="str">
        <f t="shared" si="25"/>
        <v>無資料</v>
      </c>
      <c r="G780" s="7" t="e">
        <f>VLOOKUP(A780,Sheet5!$A$2:$D$415,4,FALSE)</f>
        <v>#N/A</v>
      </c>
      <c r="H780" s="7" t="e">
        <f>VLOOKUP(A780,Sheet5!$A$2:$D$415,3,FALSE)</f>
        <v>#N/A</v>
      </c>
      <c r="I780" s="7" t="e">
        <f>VLOOKUP(A780,'1201-29周均耗用'!$A$1:$C$602,3,FALSE)</f>
        <v>#N/A</v>
      </c>
    </row>
    <row r="781" spans="1:9">
      <c r="A781" s="13" t="s">
        <v>1567</v>
      </c>
      <c r="B781" s="14" t="s">
        <v>1568</v>
      </c>
      <c r="C781" s="13">
        <v>0</v>
      </c>
      <c r="D781" s="7">
        <f>IFERROR(VLOOKUP(A781,'1227-29耗量'!$A$1:$C$602,3,FALSE),0)</f>
        <v>0</v>
      </c>
      <c r="E781" s="7">
        <f t="shared" si="24"/>
        <v>0</v>
      </c>
      <c r="F781" s="7" t="str">
        <f t="shared" si="25"/>
        <v>無資料</v>
      </c>
      <c r="G781" s="7" t="e">
        <f>VLOOKUP(A781,Sheet5!$A$2:$D$415,4,FALSE)</f>
        <v>#N/A</v>
      </c>
      <c r="H781" s="7" t="e">
        <f>VLOOKUP(A781,Sheet5!$A$2:$D$415,3,FALSE)</f>
        <v>#N/A</v>
      </c>
      <c r="I781" s="7" t="e">
        <f>VLOOKUP(A781,'1201-29周均耗用'!$A$1:$C$602,3,FALSE)</f>
        <v>#N/A</v>
      </c>
    </row>
    <row r="782" spans="1:9">
      <c r="A782" s="13" t="s">
        <v>1569</v>
      </c>
      <c r="B782" s="14" t="s">
        <v>1570</v>
      </c>
      <c r="C782" s="13">
        <v>0</v>
      </c>
      <c r="D782" s="7">
        <f>IFERROR(VLOOKUP(A782,'1227-29耗量'!$A$1:$C$602,3,FALSE),0)</f>
        <v>0</v>
      </c>
      <c r="E782" s="7">
        <f t="shared" si="24"/>
        <v>0</v>
      </c>
      <c r="F782" s="7" t="str">
        <f t="shared" si="25"/>
        <v>無資料</v>
      </c>
      <c r="G782" s="7" t="e">
        <f>VLOOKUP(A782,Sheet5!$A$2:$D$415,4,FALSE)</f>
        <v>#N/A</v>
      </c>
      <c r="H782" s="7" t="e">
        <f>VLOOKUP(A782,Sheet5!$A$2:$D$415,3,FALSE)</f>
        <v>#N/A</v>
      </c>
      <c r="I782" s="7" t="e">
        <f>VLOOKUP(A782,'1201-29周均耗用'!$A$1:$C$602,3,FALSE)</f>
        <v>#N/A</v>
      </c>
    </row>
    <row r="783" spans="1:9">
      <c r="A783" s="13" t="s">
        <v>1571</v>
      </c>
      <c r="B783" s="14" t="s">
        <v>1572</v>
      </c>
      <c r="C783" s="13">
        <v>606</v>
      </c>
      <c r="D783" s="7">
        <f>VLOOKUP(A783,'1227-29耗量'!$A$1:$C$602,3,FALSE)</f>
        <v>16</v>
      </c>
      <c r="E783" s="7">
        <f t="shared" si="24"/>
        <v>590</v>
      </c>
      <c r="F783" s="7" t="str">
        <f t="shared" si="25"/>
        <v>錯誤</v>
      </c>
      <c r="G783" s="7">
        <f>VLOOKUP(A783,Sheet5!$A$2:$D$415,4,FALSE)</f>
        <v>361</v>
      </c>
      <c r="H783" s="7">
        <f>VLOOKUP(A783,Sheet5!$A$2:$D$415,3,FALSE)</f>
        <v>560</v>
      </c>
      <c r="I783" s="7">
        <f>VLOOKUP(A783,'1201-29周均耗用'!$A$1:$C$602,3,FALSE)</f>
        <v>157.5</v>
      </c>
    </row>
    <row r="784" spans="1:9">
      <c r="A784" s="13" t="s">
        <v>1573</v>
      </c>
      <c r="B784" s="14" t="s">
        <v>1574</v>
      </c>
      <c r="C784" s="13">
        <v>30</v>
      </c>
      <c r="D784" s="7">
        <f>IFERROR(VLOOKUP(A784,'1227-29耗量'!$A$1:$C$602,3,FALSE),0)</f>
        <v>0</v>
      </c>
      <c r="E784" s="7">
        <f t="shared" si="24"/>
        <v>30</v>
      </c>
      <c r="F784" s="7" t="str">
        <f t="shared" si="25"/>
        <v>無資料</v>
      </c>
      <c r="G784" s="7" t="e">
        <f>VLOOKUP(A784,Sheet5!$A$2:$D$415,4,FALSE)</f>
        <v>#N/A</v>
      </c>
      <c r="H784" s="7" t="e">
        <f>VLOOKUP(A784,Sheet5!$A$2:$D$415,3,FALSE)</f>
        <v>#N/A</v>
      </c>
      <c r="I784" s="7" t="e">
        <f>VLOOKUP(A784,'1201-29周均耗用'!$A$1:$C$602,3,FALSE)</f>
        <v>#N/A</v>
      </c>
    </row>
    <row r="785" spans="1:9">
      <c r="A785" s="13" t="s">
        <v>1575</v>
      </c>
      <c r="B785" s="14" t="s">
        <v>1576</v>
      </c>
      <c r="C785" s="13">
        <v>133</v>
      </c>
      <c r="D785" s="7">
        <f>IFERROR(VLOOKUP(A785,'1227-29耗量'!$A$1:$C$602,3,FALSE),0)</f>
        <v>22</v>
      </c>
      <c r="E785" s="7">
        <f t="shared" si="24"/>
        <v>111</v>
      </c>
      <c r="F785" s="7" t="str">
        <f t="shared" si="25"/>
        <v>無資料</v>
      </c>
      <c r="G785" s="7" t="e">
        <f>VLOOKUP(A785,Sheet5!$A$2:$D$415,4,FALSE)</f>
        <v>#N/A</v>
      </c>
      <c r="H785" s="7" t="e">
        <f>VLOOKUP(A785,Sheet5!$A$2:$D$415,3,FALSE)</f>
        <v>#N/A</v>
      </c>
      <c r="I785" s="7">
        <f>VLOOKUP(A785,'1201-29周均耗用'!$A$1:$C$602,3,FALSE)</f>
        <v>64.8</v>
      </c>
    </row>
    <row r="786" spans="1:9">
      <c r="A786" s="13" t="s">
        <v>1577</v>
      </c>
      <c r="B786" s="14" t="s">
        <v>1578</v>
      </c>
      <c r="C786" s="13">
        <v>5</v>
      </c>
      <c r="D786" s="7">
        <f>IFERROR(VLOOKUP(A786,'1227-29耗量'!$A$1:$C$602,3,FALSE),0)</f>
        <v>0</v>
      </c>
      <c r="E786" s="7">
        <f t="shared" si="24"/>
        <v>5</v>
      </c>
      <c r="F786" s="7" t="str">
        <f t="shared" si="25"/>
        <v>無資料</v>
      </c>
      <c r="G786" s="7" t="e">
        <f>VLOOKUP(A786,Sheet5!$A$2:$D$415,4,FALSE)</f>
        <v>#N/A</v>
      </c>
      <c r="H786" s="7" t="e">
        <f>VLOOKUP(A786,Sheet5!$A$2:$D$415,3,FALSE)</f>
        <v>#N/A</v>
      </c>
      <c r="I786" s="7">
        <f>VLOOKUP(A786,'1201-29周均耗用'!$A$1:$C$602,3,FALSE)</f>
        <v>0.2</v>
      </c>
    </row>
    <row r="787" spans="1:9">
      <c r="A787" s="13" t="s">
        <v>1579</v>
      </c>
      <c r="B787" s="14" t="s">
        <v>1580</v>
      </c>
      <c r="C787" s="13">
        <v>302</v>
      </c>
      <c r="D787" s="7">
        <f>IFERROR(VLOOKUP(A787,'1227-29耗量'!$A$1:$C$602,3,FALSE),0)</f>
        <v>0</v>
      </c>
      <c r="E787" s="7">
        <f t="shared" si="24"/>
        <v>302</v>
      </c>
      <c r="F787" s="7" t="str">
        <f t="shared" si="25"/>
        <v>錯誤</v>
      </c>
      <c r="G787" s="7">
        <f>VLOOKUP(A787,Sheet5!$A$2:$D$415,4,FALSE)</f>
        <v>10</v>
      </c>
      <c r="H787" s="7">
        <f>VLOOKUP(A787,Sheet5!$A$2:$D$415,3,FALSE)</f>
        <v>100</v>
      </c>
      <c r="I787" s="7">
        <f>VLOOKUP(A787,'1201-29周均耗用'!$A$1:$C$602,3,FALSE)</f>
        <v>54</v>
      </c>
    </row>
    <row r="788" spans="1:9">
      <c r="A788" s="13" t="s">
        <v>1581</v>
      </c>
      <c r="B788" s="14" t="s">
        <v>1582</v>
      </c>
      <c r="C788" s="13">
        <v>106</v>
      </c>
      <c r="D788" s="7">
        <f>IFERROR(VLOOKUP(A788,'1227-29耗量'!$A$1:$C$602,3,FALSE),0)</f>
        <v>0</v>
      </c>
      <c r="E788" s="7">
        <f t="shared" si="24"/>
        <v>106</v>
      </c>
      <c r="F788" s="7" t="str">
        <f t="shared" si="25"/>
        <v>錯誤</v>
      </c>
      <c r="G788" s="7">
        <f>VLOOKUP(A788,Sheet5!$A$2:$D$415,4,FALSE)</f>
        <v>101</v>
      </c>
      <c r="H788" s="7">
        <f>VLOOKUP(A788,Sheet5!$A$2:$D$415,3,FALSE)</f>
        <v>200</v>
      </c>
      <c r="I788" s="7">
        <f>VLOOKUP(A788,'1201-29周均耗用'!$A$1:$C$602,3,FALSE)</f>
        <v>0</v>
      </c>
    </row>
    <row r="789" spans="1:9">
      <c r="A789" s="13" t="s">
        <v>1583</v>
      </c>
      <c r="B789" s="14" t="s">
        <v>1584</v>
      </c>
      <c r="C789" s="13">
        <v>0</v>
      </c>
      <c r="D789" s="7">
        <f>IFERROR(VLOOKUP(A789,'1227-29耗量'!$A$1:$C$602,3,FALSE),0)</f>
        <v>0</v>
      </c>
      <c r="E789" s="7">
        <f t="shared" si="24"/>
        <v>0</v>
      </c>
      <c r="F789" s="7" t="str">
        <f t="shared" si="25"/>
        <v>無資料</v>
      </c>
      <c r="G789" s="7" t="e">
        <f>VLOOKUP(A789,Sheet5!$A$2:$D$415,4,FALSE)</f>
        <v>#N/A</v>
      </c>
      <c r="H789" s="7" t="e">
        <f>VLOOKUP(A789,Sheet5!$A$2:$D$415,3,FALSE)</f>
        <v>#N/A</v>
      </c>
      <c r="I789" s="7" t="e">
        <f>VLOOKUP(A789,'1201-29周均耗用'!$A$1:$C$602,3,FALSE)</f>
        <v>#N/A</v>
      </c>
    </row>
    <row r="790" spans="1:9">
      <c r="A790" s="13" t="s">
        <v>1585</v>
      </c>
      <c r="B790" s="14" t="s">
        <v>1586</v>
      </c>
      <c r="C790" s="13">
        <v>78</v>
      </c>
      <c r="D790" s="7">
        <f>VLOOKUP(A790,'1227-29耗量'!$A$1:$C$602,3,FALSE)</f>
        <v>3</v>
      </c>
      <c r="E790" s="7">
        <f t="shared" si="24"/>
        <v>75</v>
      </c>
      <c r="F790" s="7" t="str">
        <f t="shared" si="25"/>
        <v>錯誤</v>
      </c>
      <c r="G790" s="7">
        <f>VLOOKUP(A790,Sheet5!$A$2:$D$415,4,FALSE)</f>
        <v>32</v>
      </c>
      <c r="H790" s="7">
        <f>VLOOKUP(A790,Sheet5!$A$2:$D$415,3,FALSE)</f>
        <v>48</v>
      </c>
      <c r="I790" s="7" t="e">
        <f>VLOOKUP(A790,'1201-29周均耗用'!$A$1:$C$602,3,FALSE)</f>
        <v>#N/A</v>
      </c>
    </row>
    <row r="791" spans="1:9">
      <c r="A791" s="13" t="s">
        <v>1587</v>
      </c>
      <c r="B791" s="14" t="s">
        <v>1588</v>
      </c>
      <c r="C791" s="13">
        <v>0</v>
      </c>
      <c r="D791" s="7">
        <f>IFERROR(VLOOKUP(A791,'1227-29耗量'!$A$1:$C$602,3,FALSE),0)</f>
        <v>0</v>
      </c>
      <c r="E791" s="7">
        <f t="shared" si="24"/>
        <v>0</v>
      </c>
      <c r="F791" s="7" t="str">
        <f t="shared" si="25"/>
        <v>無資料</v>
      </c>
      <c r="G791" s="7" t="e">
        <f>VLOOKUP(A791,Sheet5!$A$2:$D$415,4,FALSE)</f>
        <v>#N/A</v>
      </c>
      <c r="H791" s="7" t="e">
        <f>VLOOKUP(A791,Sheet5!$A$2:$D$415,3,FALSE)</f>
        <v>#N/A</v>
      </c>
      <c r="I791" s="7" t="e">
        <f>VLOOKUP(A791,'1201-29周均耗用'!$A$1:$C$602,3,FALSE)</f>
        <v>#N/A</v>
      </c>
    </row>
    <row r="792" spans="1:9">
      <c r="A792" s="13" t="s">
        <v>1589</v>
      </c>
      <c r="B792" s="14" t="s">
        <v>1590</v>
      </c>
      <c r="C792" s="13">
        <v>40</v>
      </c>
      <c r="D792" s="7">
        <f>VLOOKUP(A792,'1227-29耗量'!$A$1:$C$602,3,FALSE)</f>
        <v>9</v>
      </c>
      <c r="E792" s="7">
        <f t="shared" si="24"/>
        <v>31</v>
      </c>
      <c r="F792" s="7" t="str">
        <f t="shared" si="25"/>
        <v>錯誤</v>
      </c>
      <c r="G792" s="7">
        <f>VLOOKUP(A792,Sheet5!$A$2:$D$415,4,FALSE)</f>
        <v>28</v>
      </c>
      <c r="H792" s="7">
        <f>VLOOKUP(A792,Sheet5!$A$2:$D$415,3,FALSE)</f>
        <v>40</v>
      </c>
      <c r="I792" s="7">
        <f>VLOOKUP(A792,'1201-29周均耗用'!$A$1:$C$602,3,FALSE)</f>
        <v>13</v>
      </c>
    </row>
    <row r="793" spans="1:9">
      <c r="A793" s="13" t="s">
        <v>1591</v>
      </c>
      <c r="B793" s="14" t="s">
        <v>1592</v>
      </c>
      <c r="C793" s="13">
        <v>60</v>
      </c>
      <c r="D793" s="7">
        <f>IFERROR(VLOOKUP(A793,'1227-29耗量'!$A$1:$C$602,3,FALSE),0)</f>
        <v>0</v>
      </c>
      <c r="E793" s="7">
        <f t="shared" si="24"/>
        <v>60</v>
      </c>
      <c r="F793" s="7" t="str">
        <f t="shared" si="25"/>
        <v>無資料</v>
      </c>
      <c r="G793" s="7" t="e">
        <f>VLOOKUP(A793,Sheet5!$A$2:$D$415,4,FALSE)</f>
        <v>#N/A</v>
      </c>
      <c r="H793" s="7" t="e">
        <f>VLOOKUP(A793,Sheet5!$A$2:$D$415,3,FALSE)</f>
        <v>#N/A</v>
      </c>
      <c r="I793" s="7" t="e">
        <f>VLOOKUP(A793,'1201-29周均耗用'!$A$1:$C$602,3,FALSE)</f>
        <v>#N/A</v>
      </c>
    </row>
    <row r="794" spans="1:9">
      <c r="A794" s="13" t="s">
        <v>1593</v>
      </c>
      <c r="B794" s="14" t="s">
        <v>1594</v>
      </c>
      <c r="C794" s="13">
        <v>268</v>
      </c>
      <c r="D794" s="7">
        <f>VLOOKUP(A794,'1227-29耗量'!$A$1:$C$602,3,FALSE)</f>
        <v>3</v>
      </c>
      <c r="E794" s="7">
        <f t="shared" si="24"/>
        <v>265</v>
      </c>
      <c r="F794" s="7" t="str">
        <f t="shared" si="25"/>
        <v>錯誤</v>
      </c>
      <c r="G794" s="7">
        <f>VLOOKUP(A794,Sheet5!$A$2:$D$415,4,FALSE)</f>
        <v>150</v>
      </c>
      <c r="H794" s="7">
        <f>VLOOKUP(A794,Sheet5!$A$2:$D$415,3,FALSE)</f>
        <v>100</v>
      </c>
      <c r="I794" s="7">
        <f>VLOOKUP(A794,'1201-29周均耗用'!$A$1:$C$602,3,FALSE)</f>
        <v>21.2</v>
      </c>
    </row>
    <row r="795" spans="1:9">
      <c r="A795" s="13" t="s">
        <v>1595</v>
      </c>
      <c r="B795" s="14" t="s">
        <v>1596</v>
      </c>
      <c r="C795" s="13">
        <v>364</v>
      </c>
      <c r="D795" s="7">
        <f>VLOOKUP(A795,'1227-29耗量'!$A$1:$C$602,3,FALSE)</f>
        <v>6</v>
      </c>
      <c r="E795" s="7">
        <f t="shared" si="24"/>
        <v>358</v>
      </c>
      <c r="F795" s="7" t="str">
        <f t="shared" si="25"/>
        <v>錯誤</v>
      </c>
      <c r="G795" s="7">
        <f>VLOOKUP(A795,Sheet5!$A$2:$D$415,4,FALSE)</f>
        <v>41</v>
      </c>
      <c r="H795" s="7">
        <f>VLOOKUP(A795,Sheet5!$A$2:$D$415,3,FALSE)</f>
        <v>400</v>
      </c>
      <c r="I795" s="7">
        <f>VLOOKUP(A795,'1201-29周均耗用'!$A$1:$C$602,3,FALSE)</f>
        <v>73.2</v>
      </c>
    </row>
    <row r="796" spans="1:9">
      <c r="A796" s="13" t="s">
        <v>1597</v>
      </c>
      <c r="B796" s="14" t="s">
        <v>1598</v>
      </c>
      <c r="C796" s="13">
        <v>0</v>
      </c>
      <c r="D796" s="7">
        <f>IFERROR(VLOOKUP(A796,'1227-29耗量'!$A$1:$C$602,3,FALSE),0)</f>
        <v>0</v>
      </c>
      <c r="E796" s="7">
        <f t="shared" si="24"/>
        <v>0</v>
      </c>
      <c r="F796" s="7" t="str">
        <f t="shared" si="25"/>
        <v>無資料</v>
      </c>
      <c r="G796" s="7" t="e">
        <f>VLOOKUP(A796,Sheet5!$A$2:$D$415,4,FALSE)</f>
        <v>#N/A</v>
      </c>
      <c r="H796" s="7" t="e">
        <f>VLOOKUP(A796,Sheet5!$A$2:$D$415,3,FALSE)</f>
        <v>#N/A</v>
      </c>
      <c r="I796" s="7" t="e">
        <f>VLOOKUP(A796,'1201-29周均耗用'!$A$1:$C$602,3,FALSE)</f>
        <v>#N/A</v>
      </c>
    </row>
    <row r="797" spans="1:9">
      <c r="A797" s="13" t="s">
        <v>1599</v>
      </c>
      <c r="B797" s="14" t="s">
        <v>1600</v>
      </c>
      <c r="C797" s="13">
        <v>106</v>
      </c>
      <c r="D797" s="7">
        <f>IFERROR(VLOOKUP(A797,'1227-29耗量'!$A$1:$C$602,3,FALSE),0)</f>
        <v>0</v>
      </c>
      <c r="E797" s="7">
        <f t="shared" si="24"/>
        <v>106</v>
      </c>
      <c r="F797" s="7" t="str">
        <f t="shared" si="25"/>
        <v>無資料</v>
      </c>
      <c r="G797" s="7" t="e">
        <f>VLOOKUP(A797,Sheet5!$A$2:$D$415,4,FALSE)</f>
        <v>#N/A</v>
      </c>
      <c r="H797" s="7" t="e">
        <f>VLOOKUP(A797,Sheet5!$A$2:$D$415,3,FALSE)</f>
        <v>#N/A</v>
      </c>
      <c r="I797" s="7">
        <f>VLOOKUP(A797,'1201-29周均耗用'!$A$1:$C$602,3,FALSE)</f>
        <v>2.5</v>
      </c>
    </row>
    <row r="798" spans="1:9">
      <c r="A798" s="13" t="s">
        <v>1601</v>
      </c>
      <c r="B798" s="14" t="s">
        <v>1602</v>
      </c>
      <c r="C798" s="13">
        <v>3013</v>
      </c>
      <c r="D798" s="7">
        <f>VLOOKUP(A798,'1227-29耗量'!$A$1:$C$602,3,FALSE)</f>
        <v>153</v>
      </c>
      <c r="E798" s="7">
        <f t="shared" si="24"/>
        <v>2860</v>
      </c>
      <c r="F798" s="7" t="str">
        <f t="shared" si="25"/>
        <v>錯誤</v>
      </c>
      <c r="G798" s="7">
        <f>VLOOKUP(A798,Sheet5!$A$2:$D$415,4,FALSE)</f>
        <v>1996</v>
      </c>
      <c r="H798" s="7">
        <f>VLOOKUP(A798,Sheet5!$A$2:$D$415,3,FALSE)</f>
        <v>3276</v>
      </c>
      <c r="I798" s="7" t="e">
        <f>VLOOKUP(A798,'1201-29周均耗用'!$A$1:$C$602,3,FALSE)</f>
        <v>#N/A</v>
      </c>
    </row>
    <row r="799" spans="1:9">
      <c r="A799" s="13" t="s">
        <v>1603</v>
      </c>
      <c r="B799" s="14" t="s">
        <v>1604</v>
      </c>
      <c r="C799" s="13">
        <v>0</v>
      </c>
      <c r="D799" s="7">
        <f>IFERROR(VLOOKUP(A799,'1227-29耗量'!$A$1:$C$602,3,FALSE),0)</f>
        <v>0</v>
      </c>
      <c r="E799" s="7">
        <f t="shared" si="24"/>
        <v>0</v>
      </c>
      <c r="F799" s="7" t="str">
        <f t="shared" si="25"/>
        <v>無資料</v>
      </c>
      <c r="G799" s="7" t="e">
        <f>VLOOKUP(A799,Sheet5!$A$2:$D$415,4,FALSE)</f>
        <v>#N/A</v>
      </c>
      <c r="H799" s="7" t="e">
        <f>VLOOKUP(A799,Sheet5!$A$2:$D$415,3,FALSE)</f>
        <v>#N/A</v>
      </c>
      <c r="I799" s="7" t="e">
        <f>VLOOKUP(A799,'1201-29周均耗用'!$A$1:$C$602,3,FALSE)</f>
        <v>#N/A</v>
      </c>
    </row>
    <row r="800" spans="1:9">
      <c r="A800" s="13" t="s">
        <v>1605</v>
      </c>
      <c r="B800" s="14" t="s">
        <v>1606</v>
      </c>
      <c r="C800" s="13">
        <v>35</v>
      </c>
      <c r="D800" s="7">
        <f>IFERROR(VLOOKUP(A800,'1227-29耗量'!$A$1:$C$602,3,FALSE),0)</f>
        <v>0</v>
      </c>
      <c r="E800" s="7">
        <f t="shared" si="24"/>
        <v>35</v>
      </c>
      <c r="F800" s="7" t="str">
        <f t="shared" si="25"/>
        <v>無資料</v>
      </c>
      <c r="G800" s="7" t="e">
        <f>VLOOKUP(A800,Sheet5!$A$2:$D$415,4,FALSE)</f>
        <v>#N/A</v>
      </c>
      <c r="H800" s="7" t="e">
        <f>VLOOKUP(A800,Sheet5!$A$2:$D$415,3,FALSE)</f>
        <v>#N/A</v>
      </c>
      <c r="I800" s="7" t="e">
        <f>VLOOKUP(A800,'1201-29周均耗用'!$A$1:$C$602,3,FALSE)</f>
        <v>#N/A</v>
      </c>
    </row>
    <row r="801" spans="1:9">
      <c r="A801" s="13" t="s">
        <v>1607</v>
      </c>
      <c r="B801" s="14" t="s">
        <v>1608</v>
      </c>
      <c r="C801" s="13">
        <v>0</v>
      </c>
      <c r="D801" s="7">
        <f>IFERROR(VLOOKUP(A801,'1227-29耗量'!$A$1:$C$602,3,FALSE),0)</f>
        <v>0</v>
      </c>
      <c r="E801" s="7">
        <f t="shared" si="24"/>
        <v>0</v>
      </c>
      <c r="F801" s="7" t="str">
        <f t="shared" si="25"/>
        <v>無資料</v>
      </c>
      <c r="G801" s="7" t="e">
        <f>VLOOKUP(A801,Sheet5!$A$2:$D$415,4,FALSE)</f>
        <v>#N/A</v>
      </c>
      <c r="H801" s="7" t="e">
        <f>VLOOKUP(A801,Sheet5!$A$2:$D$415,3,FALSE)</f>
        <v>#N/A</v>
      </c>
      <c r="I801" s="7" t="e">
        <f>VLOOKUP(A801,'1201-29周均耗用'!$A$1:$C$602,3,FALSE)</f>
        <v>#N/A</v>
      </c>
    </row>
    <row r="802" spans="1:9">
      <c r="A802" s="13" t="s">
        <v>1609</v>
      </c>
      <c r="B802" s="14" t="s">
        <v>1610</v>
      </c>
      <c r="C802" s="13">
        <v>0</v>
      </c>
      <c r="D802" s="7">
        <f>IFERROR(VLOOKUP(A802,'1227-29耗量'!$A$1:$C$602,3,FALSE),0)</f>
        <v>0</v>
      </c>
      <c r="E802" s="7">
        <f t="shared" si="24"/>
        <v>0</v>
      </c>
      <c r="F802" s="7" t="str">
        <f t="shared" si="25"/>
        <v>無資料</v>
      </c>
      <c r="G802" s="7" t="e">
        <f>VLOOKUP(A802,Sheet5!$A$2:$D$415,4,FALSE)</f>
        <v>#N/A</v>
      </c>
      <c r="H802" s="7" t="e">
        <f>VLOOKUP(A802,Sheet5!$A$2:$D$415,3,FALSE)</f>
        <v>#N/A</v>
      </c>
      <c r="I802" s="7" t="e">
        <f>VLOOKUP(A802,'1201-29周均耗用'!$A$1:$C$602,3,FALSE)</f>
        <v>#N/A</v>
      </c>
    </row>
    <row r="803" spans="1:9">
      <c r="A803" s="13" t="s">
        <v>1611</v>
      </c>
      <c r="B803" s="14" t="s">
        <v>1612</v>
      </c>
      <c r="C803" s="13">
        <v>61</v>
      </c>
      <c r="D803" s="7">
        <f>IFERROR(VLOOKUP(A803,'1227-29耗量'!$A$1:$C$602,3,FALSE),0)</f>
        <v>0</v>
      </c>
      <c r="E803" s="7">
        <f t="shared" si="24"/>
        <v>61</v>
      </c>
      <c r="F803" s="7" t="str">
        <f t="shared" si="25"/>
        <v>無資料</v>
      </c>
      <c r="G803" s="7" t="e">
        <f>VLOOKUP(A803,Sheet5!$A$2:$D$415,4,FALSE)</f>
        <v>#N/A</v>
      </c>
      <c r="H803" s="7" t="e">
        <f>VLOOKUP(A803,Sheet5!$A$2:$D$415,3,FALSE)</f>
        <v>#N/A</v>
      </c>
      <c r="I803" s="7">
        <f>VLOOKUP(A803,'1201-29周均耗用'!$A$1:$C$602,3,FALSE)</f>
        <v>4</v>
      </c>
    </row>
    <row r="804" spans="1:9">
      <c r="A804" s="13" t="s">
        <v>1613</v>
      </c>
      <c r="B804" s="14" t="s">
        <v>1614</v>
      </c>
      <c r="C804" s="13">
        <v>61</v>
      </c>
      <c r="D804" s="7">
        <f>IFERROR(VLOOKUP(A804,'1227-29耗量'!$A$1:$C$602,3,FALSE),0)</f>
        <v>0</v>
      </c>
      <c r="E804" s="7">
        <f t="shared" si="24"/>
        <v>61</v>
      </c>
      <c r="F804" s="7" t="str">
        <f t="shared" si="25"/>
        <v>無資料</v>
      </c>
      <c r="G804" s="7" t="e">
        <f>VLOOKUP(A804,Sheet5!$A$2:$D$415,4,FALSE)</f>
        <v>#N/A</v>
      </c>
      <c r="H804" s="7" t="e">
        <f>VLOOKUP(A804,Sheet5!$A$2:$D$415,3,FALSE)</f>
        <v>#N/A</v>
      </c>
      <c r="I804" s="7">
        <f>VLOOKUP(A804,'1201-29周均耗用'!$A$1:$C$602,3,FALSE)</f>
        <v>-0.5</v>
      </c>
    </row>
    <row r="805" spans="1:9">
      <c r="A805" s="13" t="s">
        <v>1615</v>
      </c>
      <c r="B805" s="14" t="s">
        <v>1616</v>
      </c>
      <c r="C805" s="13">
        <v>97</v>
      </c>
      <c r="D805" s="7">
        <f>IFERROR(VLOOKUP(A805,'1227-29耗量'!$A$1:$C$602,3,FALSE),0)</f>
        <v>2</v>
      </c>
      <c r="E805" s="7">
        <f t="shared" si="24"/>
        <v>95</v>
      </c>
      <c r="F805" s="7" t="str">
        <f t="shared" si="25"/>
        <v>無資料</v>
      </c>
      <c r="G805" s="7" t="e">
        <f>VLOOKUP(A805,Sheet5!$A$2:$D$415,4,FALSE)</f>
        <v>#N/A</v>
      </c>
      <c r="H805" s="7" t="e">
        <f>VLOOKUP(A805,Sheet5!$A$2:$D$415,3,FALSE)</f>
        <v>#N/A</v>
      </c>
      <c r="I805" s="7">
        <f>VLOOKUP(A805,'1201-29周均耗用'!$A$1:$C$602,3,FALSE)</f>
        <v>4</v>
      </c>
    </row>
    <row r="806" spans="1:9">
      <c r="A806" s="13" t="s">
        <v>1617</v>
      </c>
      <c r="B806" s="14" t="s">
        <v>1618</v>
      </c>
      <c r="C806" s="13">
        <v>130</v>
      </c>
      <c r="D806" s="7">
        <f>IFERROR(VLOOKUP(A806,'1227-29耗量'!$A$1:$C$602,3,FALSE),0)</f>
        <v>0</v>
      </c>
      <c r="E806" s="7">
        <f t="shared" si="24"/>
        <v>130</v>
      </c>
      <c r="F806" s="7" t="str">
        <f t="shared" si="25"/>
        <v>無資料</v>
      </c>
      <c r="G806" s="7" t="e">
        <f>VLOOKUP(A806,Sheet5!$A$2:$D$415,4,FALSE)</f>
        <v>#N/A</v>
      </c>
      <c r="H806" s="7" t="e">
        <f>VLOOKUP(A806,Sheet5!$A$2:$D$415,3,FALSE)</f>
        <v>#N/A</v>
      </c>
      <c r="I806" s="7">
        <f>VLOOKUP(A806,'1201-29周均耗用'!$A$1:$C$602,3,FALSE)</f>
        <v>1.8</v>
      </c>
    </row>
    <row r="807" spans="1:9">
      <c r="A807" s="13" t="s">
        <v>1619</v>
      </c>
      <c r="B807" s="14" t="s">
        <v>1620</v>
      </c>
      <c r="C807" s="13">
        <v>450</v>
      </c>
      <c r="D807" s="7">
        <f>IFERROR(VLOOKUP(A807,'1227-29耗量'!$A$1:$C$602,3,FALSE),0)</f>
        <v>0</v>
      </c>
      <c r="E807" s="7">
        <f t="shared" si="24"/>
        <v>450</v>
      </c>
      <c r="F807" s="7" t="str">
        <f t="shared" si="25"/>
        <v>無資料</v>
      </c>
      <c r="G807" s="7" t="e">
        <f>VLOOKUP(A807,Sheet5!$A$2:$D$415,4,FALSE)</f>
        <v>#N/A</v>
      </c>
      <c r="H807" s="7" t="e">
        <f>VLOOKUP(A807,Sheet5!$A$2:$D$415,3,FALSE)</f>
        <v>#N/A</v>
      </c>
      <c r="I807" s="7" t="e">
        <f>VLOOKUP(A807,'1201-29周均耗用'!$A$1:$C$602,3,FALSE)</f>
        <v>#N/A</v>
      </c>
    </row>
    <row r="808" spans="1:9">
      <c r="A808" s="13" t="s">
        <v>1621</v>
      </c>
      <c r="B808" s="14" t="s">
        <v>1622</v>
      </c>
      <c r="C808" s="13">
        <v>0</v>
      </c>
      <c r="D808" s="7">
        <f>IFERROR(VLOOKUP(A808,'1227-29耗量'!$A$1:$C$602,3,FALSE),0)</f>
        <v>0</v>
      </c>
      <c r="E808" s="7">
        <f t="shared" si="24"/>
        <v>0</v>
      </c>
      <c r="F808" s="7" t="str">
        <f t="shared" si="25"/>
        <v>無資料</v>
      </c>
      <c r="G808" s="7" t="e">
        <f>VLOOKUP(A808,Sheet5!$A$2:$D$415,4,FALSE)</f>
        <v>#N/A</v>
      </c>
      <c r="H808" s="7" t="e">
        <f>VLOOKUP(A808,Sheet5!$A$2:$D$415,3,FALSE)</f>
        <v>#N/A</v>
      </c>
      <c r="I808" s="7" t="e">
        <f>VLOOKUP(A808,'1201-29周均耗用'!$A$1:$C$602,3,FALSE)</f>
        <v>#N/A</v>
      </c>
    </row>
    <row r="809" spans="1:9">
      <c r="A809" s="13" t="s">
        <v>1623</v>
      </c>
      <c r="B809" s="14" t="s">
        <v>1624</v>
      </c>
      <c r="C809" s="13">
        <v>1</v>
      </c>
      <c r="D809" s="7">
        <f>IFERROR(VLOOKUP(A809,'1227-29耗量'!$A$1:$C$602,3,FALSE),0)</f>
        <v>0</v>
      </c>
      <c r="E809" s="7">
        <f t="shared" si="24"/>
        <v>1</v>
      </c>
      <c r="F809" s="7" t="str">
        <f t="shared" si="25"/>
        <v>OK</v>
      </c>
      <c r="G809" s="7">
        <f>VLOOKUP(A809,Sheet5!$A$2:$D$415,4,FALSE)</f>
        <v>1</v>
      </c>
      <c r="H809" s="7">
        <f>VLOOKUP(A809,Sheet5!$A$2:$D$415,3,FALSE)</f>
        <v>2</v>
      </c>
      <c r="I809" s="7">
        <f>VLOOKUP(A809,'1201-29周均耗用'!$A$1:$C$602,3,FALSE)</f>
        <v>1</v>
      </c>
    </row>
    <row r="810" spans="1:9">
      <c r="A810" s="13" t="s">
        <v>1625</v>
      </c>
      <c r="B810" s="14" t="s">
        <v>1626</v>
      </c>
      <c r="C810" s="13">
        <v>0</v>
      </c>
      <c r="D810" s="7">
        <f>IFERROR(VLOOKUP(A810,'1227-29耗量'!$A$1:$C$602,3,FALSE),0)</f>
        <v>0</v>
      </c>
      <c r="E810" s="7">
        <f t="shared" si="24"/>
        <v>0</v>
      </c>
      <c r="F810" s="7" t="str">
        <f t="shared" si="25"/>
        <v>無資料</v>
      </c>
      <c r="G810" s="7" t="e">
        <f>VLOOKUP(A810,Sheet5!$A$2:$D$415,4,FALSE)</f>
        <v>#N/A</v>
      </c>
      <c r="H810" s="7" t="e">
        <f>VLOOKUP(A810,Sheet5!$A$2:$D$415,3,FALSE)</f>
        <v>#N/A</v>
      </c>
      <c r="I810" s="7" t="e">
        <f>VLOOKUP(A810,'1201-29周均耗用'!$A$1:$C$602,3,FALSE)</f>
        <v>#N/A</v>
      </c>
    </row>
    <row r="811" spans="1:9">
      <c r="A811" s="13" t="s">
        <v>1627</v>
      </c>
      <c r="B811" s="14" t="s">
        <v>1628</v>
      </c>
      <c r="C811" s="13">
        <v>0</v>
      </c>
      <c r="D811" s="7">
        <f>IFERROR(VLOOKUP(A811,'1227-29耗量'!$A$1:$C$602,3,FALSE),0)</f>
        <v>0</v>
      </c>
      <c r="E811" s="7">
        <f t="shared" si="24"/>
        <v>0</v>
      </c>
      <c r="F811" s="7" t="str">
        <f t="shared" si="25"/>
        <v>無資料</v>
      </c>
      <c r="G811" s="7" t="e">
        <f>VLOOKUP(A811,Sheet5!$A$2:$D$415,4,FALSE)</f>
        <v>#N/A</v>
      </c>
      <c r="H811" s="7" t="e">
        <f>VLOOKUP(A811,Sheet5!$A$2:$D$415,3,FALSE)</f>
        <v>#N/A</v>
      </c>
      <c r="I811" s="7" t="e">
        <f>VLOOKUP(A811,'1201-29周均耗用'!$A$1:$C$602,3,FALSE)</f>
        <v>#N/A</v>
      </c>
    </row>
    <row r="812" spans="1:9">
      <c r="A812" s="13" t="s">
        <v>1629</v>
      </c>
      <c r="B812" s="14" t="s">
        <v>1630</v>
      </c>
      <c r="C812" s="13">
        <v>677</v>
      </c>
      <c r="D812" s="7">
        <f>VLOOKUP(A812,'1227-29耗量'!$A$1:$C$602,3,FALSE)</f>
        <v>163</v>
      </c>
      <c r="E812" s="7">
        <f t="shared" si="24"/>
        <v>514</v>
      </c>
      <c r="F812" s="7" t="str">
        <f t="shared" si="25"/>
        <v>錯誤</v>
      </c>
      <c r="G812" s="7">
        <f>VLOOKUP(A812,Sheet5!$A$2:$D$415,4,FALSE)</f>
        <v>524</v>
      </c>
      <c r="H812" s="7">
        <f>VLOOKUP(A812,Sheet5!$A$2:$D$415,3,FALSE)</f>
        <v>3000</v>
      </c>
      <c r="I812" s="7" t="e">
        <f>VLOOKUP(A812,'1201-29周均耗用'!$A$1:$C$602,3,FALSE)</f>
        <v>#N/A</v>
      </c>
    </row>
    <row r="813" spans="1:9">
      <c r="A813" s="13" t="s">
        <v>1631</v>
      </c>
      <c r="B813" s="14" t="s">
        <v>1632</v>
      </c>
      <c r="C813" s="13">
        <v>148</v>
      </c>
      <c r="D813" s="7">
        <f>VLOOKUP(A813,'1227-29耗量'!$A$1:$C$602,3,FALSE)</f>
        <v>29</v>
      </c>
      <c r="E813" s="7">
        <f t="shared" si="24"/>
        <v>119</v>
      </c>
      <c r="F813" s="7" t="str">
        <f t="shared" si="25"/>
        <v>OK</v>
      </c>
      <c r="G813" s="7">
        <f>VLOOKUP(A813,Sheet5!$A$2:$D$415,4,FALSE)</f>
        <v>119</v>
      </c>
      <c r="H813" s="7">
        <f>VLOOKUP(A813,Sheet5!$A$2:$D$415,3,FALSE)</f>
        <v>360</v>
      </c>
      <c r="I813" s="7" t="e">
        <f>VLOOKUP(A813,'1201-29周均耗用'!$A$1:$C$602,3,FALSE)</f>
        <v>#N/A</v>
      </c>
    </row>
    <row r="814" spans="1:9">
      <c r="A814" s="13" t="s">
        <v>1633</v>
      </c>
      <c r="B814" s="14" t="s">
        <v>1634</v>
      </c>
      <c r="C814" s="13">
        <v>276</v>
      </c>
      <c r="D814" s="7">
        <f>IFERROR(VLOOKUP(A814,'1227-29耗量'!$A$1:$C$602,3,FALSE),0)</f>
        <v>12</v>
      </c>
      <c r="E814" s="7">
        <f t="shared" si="24"/>
        <v>264</v>
      </c>
      <c r="F814" s="7" t="str">
        <f t="shared" si="25"/>
        <v>無資料</v>
      </c>
      <c r="G814" s="7" t="e">
        <f>VLOOKUP(A814,Sheet5!$A$2:$D$415,4,FALSE)</f>
        <v>#N/A</v>
      </c>
      <c r="H814" s="7" t="e">
        <f>VLOOKUP(A814,Sheet5!$A$2:$D$415,3,FALSE)</f>
        <v>#N/A</v>
      </c>
      <c r="I814" s="7" t="e">
        <f>VLOOKUP(A814,'1201-29周均耗用'!$A$1:$C$602,3,FALSE)</f>
        <v>#N/A</v>
      </c>
    </row>
    <row r="815" spans="1:9">
      <c r="A815" s="13" t="s">
        <v>1635</v>
      </c>
      <c r="B815" s="14" t="s">
        <v>1636</v>
      </c>
      <c r="C815" s="13">
        <v>256</v>
      </c>
      <c r="D815" s="7">
        <f>IFERROR(VLOOKUP(A815,'1227-29耗量'!$A$1:$C$602,3,FALSE),0)</f>
        <v>20</v>
      </c>
      <c r="E815" s="7">
        <f t="shared" si="24"/>
        <v>236</v>
      </c>
      <c r="F815" s="7" t="str">
        <f t="shared" si="25"/>
        <v>無資料</v>
      </c>
      <c r="G815" s="7" t="e">
        <f>VLOOKUP(A815,Sheet5!$A$2:$D$415,4,FALSE)</f>
        <v>#N/A</v>
      </c>
      <c r="H815" s="7" t="e">
        <f>VLOOKUP(A815,Sheet5!$A$2:$D$415,3,FALSE)</f>
        <v>#N/A</v>
      </c>
      <c r="I815" s="7" t="e">
        <f>VLOOKUP(A815,'1201-29周均耗用'!$A$1:$C$602,3,FALSE)</f>
        <v>#N/A</v>
      </c>
    </row>
    <row r="816" spans="1:9">
      <c r="A816" s="13" t="s">
        <v>1637</v>
      </c>
      <c r="B816" s="14" t="s">
        <v>1638</v>
      </c>
      <c r="C816" s="13">
        <v>0</v>
      </c>
      <c r="D816" s="7">
        <f>IFERROR(VLOOKUP(A816,'1227-29耗量'!$A$1:$C$602,3,FALSE),0)</f>
        <v>0</v>
      </c>
      <c r="E816" s="7">
        <f t="shared" si="24"/>
        <v>0</v>
      </c>
      <c r="F816" s="7" t="str">
        <f t="shared" si="25"/>
        <v>無資料</v>
      </c>
      <c r="G816" s="7" t="e">
        <f>VLOOKUP(A816,Sheet5!$A$2:$D$415,4,FALSE)</f>
        <v>#N/A</v>
      </c>
      <c r="H816" s="7" t="e">
        <f>VLOOKUP(A816,Sheet5!$A$2:$D$415,3,FALSE)</f>
        <v>#N/A</v>
      </c>
      <c r="I816" s="7" t="e">
        <f>VLOOKUP(A816,'1201-29周均耗用'!$A$1:$C$602,3,FALSE)</f>
        <v>#N/A</v>
      </c>
    </row>
    <row r="817" spans="1:9">
      <c r="A817" s="13" t="s">
        <v>1639</v>
      </c>
      <c r="B817" s="14" t="s">
        <v>1640</v>
      </c>
      <c r="C817" s="13">
        <v>0</v>
      </c>
      <c r="D817" s="7">
        <f>IFERROR(VLOOKUP(A817,'1227-29耗量'!$A$1:$C$602,3,FALSE),0)</f>
        <v>0</v>
      </c>
      <c r="E817" s="7">
        <f t="shared" si="24"/>
        <v>0</v>
      </c>
      <c r="F817" s="7" t="str">
        <f t="shared" si="25"/>
        <v>無資料</v>
      </c>
      <c r="G817" s="7" t="e">
        <f>VLOOKUP(A817,Sheet5!$A$2:$D$415,4,FALSE)</f>
        <v>#N/A</v>
      </c>
      <c r="H817" s="7" t="e">
        <f>VLOOKUP(A817,Sheet5!$A$2:$D$415,3,FALSE)</f>
        <v>#N/A</v>
      </c>
      <c r="I817" s="7" t="e">
        <f>VLOOKUP(A817,'1201-29周均耗用'!$A$1:$C$602,3,FALSE)</f>
        <v>#N/A</v>
      </c>
    </row>
    <row r="818" spans="1:9">
      <c r="A818" s="13" t="s">
        <v>1641</v>
      </c>
      <c r="B818" s="14" t="s">
        <v>1642</v>
      </c>
      <c r="C818" s="13">
        <v>67</v>
      </c>
      <c r="D818" s="7">
        <f>IFERROR(VLOOKUP(A818,'1227-29耗量'!$A$1:$C$602,3,FALSE),0)</f>
        <v>0</v>
      </c>
      <c r="E818" s="7">
        <f t="shared" si="24"/>
        <v>67</v>
      </c>
      <c r="F818" s="7" t="str">
        <f t="shared" si="25"/>
        <v>無資料</v>
      </c>
      <c r="G818" s="7" t="e">
        <f>VLOOKUP(A818,Sheet5!$A$2:$D$415,4,FALSE)</f>
        <v>#N/A</v>
      </c>
      <c r="H818" s="7" t="e">
        <f>VLOOKUP(A818,Sheet5!$A$2:$D$415,3,FALSE)</f>
        <v>#N/A</v>
      </c>
      <c r="I818" s="7" t="e">
        <f>VLOOKUP(A818,'1201-29周均耗用'!$A$1:$C$602,3,FALSE)</f>
        <v>#N/A</v>
      </c>
    </row>
    <row r="819" spans="1:9">
      <c r="A819" s="13" t="s">
        <v>1643</v>
      </c>
      <c r="B819" s="14" t="s">
        <v>1644</v>
      </c>
      <c r="C819" s="13">
        <v>30</v>
      </c>
      <c r="D819" s="7">
        <f>IFERROR(VLOOKUP(A819,'1227-29耗量'!$A$1:$C$602,3,FALSE),0)</f>
        <v>1</v>
      </c>
      <c r="E819" s="7">
        <f t="shared" si="24"/>
        <v>29</v>
      </c>
      <c r="F819" s="7" t="str">
        <f t="shared" si="25"/>
        <v>無資料</v>
      </c>
      <c r="G819" s="7" t="e">
        <f>VLOOKUP(A819,Sheet5!$A$2:$D$415,4,FALSE)</f>
        <v>#N/A</v>
      </c>
      <c r="H819" s="7" t="e">
        <f>VLOOKUP(A819,Sheet5!$A$2:$D$415,3,FALSE)</f>
        <v>#N/A</v>
      </c>
      <c r="I819" s="7" t="e">
        <f>VLOOKUP(A819,'1201-29周均耗用'!$A$1:$C$602,3,FALSE)</f>
        <v>#N/A</v>
      </c>
    </row>
    <row r="820" spans="1:9">
      <c r="A820" s="13" t="s">
        <v>1645</v>
      </c>
      <c r="B820" s="14" t="s">
        <v>1646</v>
      </c>
      <c r="C820" s="13">
        <v>0</v>
      </c>
      <c r="D820" s="7">
        <f>IFERROR(VLOOKUP(A820,'1227-29耗量'!$A$1:$C$602,3,FALSE),0)</f>
        <v>0</v>
      </c>
      <c r="E820" s="7">
        <f t="shared" si="24"/>
        <v>0</v>
      </c>
      <c r="F820" s="7" t="str">
        <f t="shared" si="25"/>
        <v>無資料</v>
      </c>
      <c r="G820" s="7" t="e">
        <f>VLOOKUP(A820,Sheet5!$A$2:$D$415,4,FALSE)</f>
        <v>#N/A</v>
      </c>
      <c r="H820" s="7" t="e">
        <f>VLOOKUP(A820,Sheet5!$A$2:$D$415,3,FALSE)</f>
        <v>#N/A</v>
      </c>
      <c r="I820" s="7" t="e">
        <f>VLOOKUP(A820,'1201-29周均耗用'!$A$1:$C$602,3,FALSE)</f>
        <v>#N/A</v>
      </c>
    </row>
    <row r="821" spans="1:9">
      <c r="A821" s="13" t="s">
        <v>1647</v>
      </c>
      <c r="B821" s="14" t="s">
        <v>1648</v>
      </c>
      <c r="C821" s="13">
        <v>0</v>
      </c>
      <c r="D821" s="7">
        <f>IFERROR(VLOOKUP(A821,'1227-29耗量'!$A$1:$C$602,3,FALSE),0)</f>
        <v>0</v>
      </c>
      <c r="E821" s="7">
        <f t="shared" si="24"/>
        <v>0</v>
      </c>
      <c r="F821" s="7" t="str">
        <f t="shared" si="25"/>
        <v>無資料</v>
      </c>
      <c r="G821" s="7" t="e">
        <f>VLOOKUP(A821,Sheet5!$A$2:$D$415,4,FALSE)</f>
        <v>#N/A</v>
      </c>
      <c r="H821" s="7" t="e">
        <f>VLOOKUP(A821,Sheet5!$A$2:$D$415,3,FALSE)</f>
        <v>#N/A</v>
      </c>
      <c r="I821" s="7" t="e">
        <f>VLOOKUP(A821,'1201-29周均耗用'!$A$1:$C$602,3,FALSE)</f>
        <v>#N/A</v>
      </c>
    </row>
    <row r="822" spans="1:9">
      <c r="A822" s="13" t="s">
        <v>1649</v>
      </c>
      <c r="B822" s="14" t="s">
        <v>1650</v>
      </c>
      <c r="C822" s="13">
        <v>0</v>
      </c>
      <c r="D822" s="7">
        <f>IFERROR(VLOOKUP(A822,'1227-29耗量'!$A$1:$C$602,3,FALSE),0)</f>
        <v>0</v>
      </c>
      <c r="E822" s="7">
        <f t="shared" si="24"/>
        <v>0</v>
      </c>
      <c r="F822" s="7" t="str">
        <f t="shared" si="25"/>
        <v>無資料</v>
      </c>
      <c r="G822" s="7" t="e">
        <f>VLOOKUP(A822,Sheet5!$A$2:$D$415,4,FALSE)</f>
        <v>#N/A</v>
      </c>
      <c r="H822" s="7" t="e">
        <f>VLOOKUP(A822,Sheet5!$A$2:$D$415,3,FALSE)</f>
        <v>#N/A</v>
      </c>
      <c r="I822" s="7" t="e">
        <f>VLOOKUP(A822,'1201-29周均耗用'!$A$1:$C$602,3,FALSE)</f>
        <v>#N/A</v>
      </c>
    </row>
    <row r="823" spans="1:9">
      <c r="A823" s="13" t="s">
        <v>1651</v>
      </c>
      <c r="B823" s="14" t="s">
        <v>1652</v>
      </c>
      <c r="C823" s="13">
        <v>2</v>
      </c>
      <c r="D823" s="7">
        <f>IFERROR(VLOOKUP(A823,'1227-29耗量'!$A$1:$C$602,3,FALSE),0)</f>
        <v>0</v>
      </c>
      <c r="E823" s="7">
        <f t="shared" si="24"/>
        <v>2</v>
      </c>
      <c r="F823" s="7" t="str">
        <f t="shared" si="25"/>
        <v>錯誤</v>
      </c>
      <c r="G823" s="7">
        <f>VLOOKUP(A823,Sheet5!$A$2:$D$415,4,FALSE)</f>
        <v>1</v>
      </c>
      <c r="H823" s="7">
        <f>VLOOKUP(A823,Sheet5!$A$2:$D$415,3,FALSE)</f>
        <v>2</v>
      </c>
      <c r="I823" s="7" t="e">
        <f>VLOOKUP(A823,'1201-29周均耗用'!$A$1:$C$602,3,FALSE)</f>
        <v>#N/A</v>
      </c>
    </row>
    <row r="824" spans="1:9">
      <c r="A824" s="13" t="s">
        <v>1653</v>
      </c>
      <c r="B824" s="14" t="s">
        <v>1654</v>
      </c>
      <c r="C824" s="13">
        <v>9</v>
      </c>
      <c r="D824" s="7">
        <f>IFERROR(VLOOKUP(A824,'1227-29耗量'!$A$1:$C$602,3,FALSE),0)</f>
        <v>0</v>
      </c>
      <c r="E824" s="7">
        <f t="shared" si="24"/>
        <v>9</v>
      </c>
      <c r="F824" s="7" t="str">
        <f t="shared" si="25"/>
        <v>無資料</v>
      </c>
      <c r="G824" s="7" t="e">
        <f>VLOOKUP(A824,Sheet5!$A$2:$D$415,4,FALSE)</f>
        <v>#N/A</v>
      </c>
      <c r="H824" s="7" t="e">
        <f>VLOOKUP(A824,Sheet5!$A$2:$D$415,3,FALSE)</f>
        <v>#N/A</v>
      </c>
      <c r="I824" s="7" t="e">
        <f>VLOOKUP(A824,'1201-29周均耗用'!$A$1:$C$602,3,FALSE)</f>
        <v>#N/A</v>
      </c>
    </row>
    <row r="825" spans="1:9">
      <c r="A825" s="13" t="s">
        <v>1655</v>
      </c>
      <c r="B825" s="14" t="s">
        <v>1656</v>
      </c>
      <c r="C825" s="13">
        <v>0</v>
      </c>
      <c r="D825" s="7">
        <f>IFERROR(VLOOKUP(A825,'1227-29耗量'!$A$1:$C$602,3,FALSE),0)</f>
        <v>0</v>
      </c>
      <c r="E825" s="7">
        <f t="shared" si="24"/>
        <v>0</v>
      </c>
      <c r="F825" s="7" t="str">
        <f t="shared" si="25"/>
        <v>無資料</v>
      </c>
      <c r="G825" s="7" t="e">
        <f>VLOOKUP(A825,Sheet5!$A$2:$D$415,4,FALSE)</f>
        <v>#N/A</v>
      </c>
      <c r="H825" s="7" t="e">
        <f>VLOOKUP(A825,Sheet5!$A$2:$D$415,3,FALSE)</f>
        <v>#N/A</v>
      </c>
      <c r="I825" s="7">
        <f>VLOOKUP(A825,'1201-29周均耗用'!$A$1:$C$602,3,FALSE)</f>
        <v>0.5</v>
      </c>
    </row>
    <row r="826" spans="1:9">
      <c r="A826" s="13" t="s">
        <v>1657</v>
      </c>
      <c r="B826" s="14" t="s">
        <v>1658</v>
      </c>
      <c r="C826" s="13">
        <v>0</v>
      </c>
      <c r="D826" s="7">
        <f>IFERROR(VLOOKUP(A826,'1227-29耗量'!$A$1:$C$602,3,FALSE),0)</f>
        <v>0</v>
      </c>
      <c r="E826" s="7">
        <f t="shared" si="24"/>
        <v>0</v>
      </c>
      <c r="F826" s="7" t="str">
        <f t="shared" si="25"/>
        <v>無資料</v>
      </c>
      <c r="G826" s="7" t="e">
        <f>VLOOKUP(A826,Sheet5!$A$2:$D$415,4,FALSE)</f>
        <v>#N/A</v>
      </c>
      <c r="H826" s="7" t="e">
        <f>VLOOKUP(A826,Sheet5!$A$2:$D$415,3,FALSE)</f>
        <v>#N/A</v>
      </c>
      <c r="I826" s="7" t="e">
        <f>VLOOKUP(A826,'1201-29周均耗用'!$A$1:$C$602,3,FALSE)</f>
        <v>#N/A</v>
      </c>
    </row>
    <row r="827" spans="1:9">
      <c r="A827" s="13" t="s">
        <v>1659</v>
      </c>
      <c r="B827" s="14" t="s">
        <v>1660</v>
      </c>
      <c r="C827" s="13">
        <v>4</v>
      </c>
      <c r="D827" s="7">
        <f>IFERROR(VLOOKUP(A827,'1227-29耗量'!$A$1:$C$602,3,FALSE),0)</f>
        <v>0</v>
      </c>
      <c r="E827" s="7">
        <f t="shared" si="24"/>
        <v>4</v>
      </c>
      <c r="F827" s="7" t="str">
        <f t="shared" si="25"/>
        <v>無資料</v>
      </c>
      <c r="G827" s="7" t="e">
        <f>VLOOKUP(A827,Sheet5!$A$2:$D$415,4,FALSE)</f>
        <v>#N/A</v>
      </c>
      <c r="H827" s="7" t="e">
        <f>VLOOKUP(A827,Sheet5!$A$2:$D$415,3,FALSE)</f>
        <v>#N/A</v>
      </c>
      <c r="I827" s="7" t="e">
        <f>VLOOKUP(A827,'1201-29周均耗用'!$A$1:$C$602,3,FALSE)</f>
        <v>#N/A</v>
      </c>
    </row>
    <row r="828" spans="1:9">
      <c r="A828" s="13" t="s">
        <v>1661</v>
      </c>
      <c r="B828" s="14" t="s">
        <v>1662</v>
      </c>
      <c r="C828" s="13">
        <v>209</v>
      </c>
      <c r="D828" s="7">
        <f>IFERROR(VLOOKUP(A828,'1227-29耗量'!$A$1:$C$602,3,FALSE),0)</f>
        <v>12</v>
      </c>
      <c r="E828" s="7">
        <f t="shared" si="24"/>
        <v>197</v>
      </c>
      <c r="F828" s="7" t="str">
        <f t="shared" si="25"/>
        <v>無資料</v>
      </c>
      <c r="G828" s="7" t="e">
        <f>VLOOKUP(A828,Sheet5!$A$2:$D$415,4,FALSE)</f>
        <v>#N/A</v>
      </c>
      <c r="H828" s="7" t="e">
        <f>VLOOKUP(A828,Sheet5!$A$2:$D$415,3,FALSE)</f>
        <v>#N/A</v>
      </c>
      <c r="I828" s="7">
        <f>VLOOKUP(A828,'1201-29周均耗用'!$A$1:$C$602,3,FALSE)</f>
        <v>51</v>
      </c>
    </row>
    <row r="829" spans="1:9">
      <c r="A829" s="13" t="s">
        <v>1663</v>
      </c>
      <c r="B829" s="14" t="s">
        <v>1664</v>
      </c>
      <c r="C829" s="13">
        <v>697</v>
      </c>
      <c r="D829" s="7">
        <f>IFERROR(VLOOKUP(A829,'1227-29耗量'!$A$1:$C$602,3,FALSE),0)</f>
        <v>3</v>
      </c>
      <c r="E829" s="7">
        <f t="shared" si="24"/>
        <v>694</v>
      </c>
      <c r="F829" s="7" t="str">
        <f t="shared" si="25"/>
        <v>無資料</v>
      </c>
      <c r="G829" s="7" t="e">
        <f>VLOOKUP(A829,Sheet5!$A$2:$D$415,4,FALSE)</f>
        <v>#N/A</v>
      </c>
      <c r="H829" s="7" t="e">
        <f>VLOOKUP(A829,Sheet5!$A$2:$D$415,3,FALSE)</f>
        <v>#N/A</v>
      </c>
      <c r="I829" s="7" t="e">
        <f>VLOOKUP(A829,'1201-29周均耗用'!$A$1:$C$602,3,FALSE)</f>
        <v>#N/A</v>
      </c>
    </row>
    <row r="830" spans="1:9">
      <c r="A830" s="13" t="s">
        <v>1665</v>
      </c>
      <c r="B830" s="14" t="s">
        <v>1666</v>
      </c>
      <c r="C830" s="13">
        <v>91</v>
      </c>
      <c r="D830" s="7">
        <f>IFERROR(VLOOKUP(A830,'1227-29耗量'!$A$1:$C$602,3,FALSE),0)</f>
        <v>3</v>
      </c>
      <c r="E830" s="7">
        <f t="shared" si="24"/>
        <v>88</v>
      </c>
      <c r="F830" s="7" t="str">
        <f t="shared" si="25"/>
        <v>無資料</v>
      </c>
      <c r="G830" s="7" t="e">
        <f>VLOOKUP(A830,Sheet5!$A$2:$D$415,4,FALSE)</f>
        <v>#N/A</v>
      </c>
      <c r="H830" s="7" t="e">
        <f>VLOOKUP(A830,Sheet5!$A$2:$D$415,3,FALSE)</f>
        <v>#N/A</v>
      </c>
      <c r="I830" s="7">
        <f>VLOOKUP(A830,'1201-29周均耗用'!$A$1:$C$602,3,FALSE)</f>
        <v>6</v>
      </c>
    </row>
    <row r="831" spans="1:9">
      <c r="A831" s="13" t="s">
        <v>1667</v>
      </c>
      <c r="B831" s="14" t="s">
        <v>1668</v>
      </c>
      <c r="C831" s="13">
        <v>71</v>
      </c>
      <c r="D831" s="7">
        <f>IFERROR(VLOOKUP(A831,'1227-29耗量'!$A$1:$C$602,3,FALSE),0)</f>
        <v>88</v>
      </c>
      <c r="E831" s="7">
        <f t="shared" si="24"/>
        <v>-17</v>
      </c>
      <c r="F831" s="7" t="str">
        <f t="shared" si="25"/>
        <v>無資料</v>
      </c>
      <c r="G831" s="7" t="e">
        <f>VLOOKUP(A831,Sheet5!$A$2:$D$415,4,FALSE)</f>
        <v>#N/A</v>
      </c>
      <c r="H831" s="7" t="e">
        <f>VLOOKUP(A831,Sheet5!$A$2:$D$415,3,FALSE)</f>
        <v>#N/A</v>
      </c>
      <c r="I831" s="7" t="e">
        <f>VLOOKUP(A831,'1201-29周均耗用'!$A$1:$C$602,3,FALSE)</f>
        <v>#N/A</v>
      </c>
    </row>
    <row r="832" spans="1:9">
      <c r="A832" s="13" t="s">
        <v>1669</v>
      </c>
      <c r="B832" s="14" t="s">
        <v>1670</v>
      </c>
      <c r="C832" s="13">
        <v>53</v>
      </c>
      <c r="D832" s="7">
        <f>IFERROR(VLOOKUP(A832,'1227-29耗量'!$A$1:$C$602,3,FALSE),0)</f>
        <v>-5</v>
      </c>
      <c r="E832" s="7">
        <f t="shared" si="24"/>
        <v>58</v>
      </c>
      <c r="F832" s="7" t="str">
        <f t="shared" si="25"/>
        <v>無資料</v>
      </c>
      <c r="G832" s="7" t="e">
        <f>VLOOKUP(A832,Sheet5!$A$2:$D$415,4,FALSE)</f>
        <v>#N/A</v>
      </c>
      <c r="H832" s="7" t="e">
        <f>VLOOKUP(A832,Sheet5!$A$2:$D$415,3,FALSE)</f>
        <v>#N/A</v>
      </c>
      <c r="I832" s="7" t="e">
        <f>VLOOKUP(A832,'1201-29周均耗用'!$A$1:$C$602,3,FALSE)</f>
        <v>#N/A</v>
      </c>
    </row>
    <row r="833" spans="1:9">
      <c r="A833" s="13" t="s">
        <v>1671</v>
      </c>
      <c r="B833" s="14" t="s">
        <v>1672</v>
      </c>
      <c r="C833" s="13">
        <v>73</v>
      </c>
      <c r="D833" s="7">
        <f>IFERROR(VLOOKUP(A833,'1227-29耗量'!$A$1:$C$602,3,FALSE),0)</f>
        <v>0</v>
      </c>
      <c r="E833" s="7">
        <f t="shared" si="24"/>
        <v>73</v>
      </c>
      <c r="F833" s="7" t="str">
        <f t="shared" si="25"/>
        <v>無資料</v>
      </c>
      <c r="G833" s="7" t="e">
        <f>VLOOKUP(A833,Sheet5!$A$2:$D$415,4,FALSE)</f>
        <v>#N/A</v>
      </c>
      <c r="H833" s="7" t="e">
        <f>VLOOKUP(A833,Sheet5!$A$2:$D$415,3,FALSE)</f>
        <v>#N/A</v>
      </c>
      <c r="I833" s="7" t="e">
        <f>VLOOKUP(A833,'1201-29周均耗用'!$A$1:$C$602,3,FALSE)</f>
        <v>#N/A</v>
      </c>
    </row>
    <row r="834" spans="1:9">
      <c r="A834" s="13" t="s">
        <v>1673</v>
      </c>
      <c r="B834" s="14" t="s">
        <v>1674</v>
      </c>
      <c r="C834" s="13">
        <v>0</v>
      </c>
      <c r="D834" s="7">
        <f>IFERROR(VLOOKUP(A834,'1227-29耗量'!$A$1:$C$602,3,FALSE),0)</f>
        <v>0</v>
      </c>
      <c r="E834" s="7">
        <f t="shared" si="24"/>
        <v>0</v>
      </c>
      <c r="F834" s="7" t="str">
        <f t="shared" si="25"/>
        <v>無資料</v>
      </c>
      <c r="G834" s="7" t="e">
        <f>VLOOKUP(A834,Sheet5!$A$2:$D$415,4,FALSE)</f>
        <v>#N/A</v>
      </c>
      <c r="H834" s="7" t="e">
        <f>VLOOKUP(A834,Sheet5!$A$2:$D$415,3,FALSE)</f>
        <v>#N/A</v>
      </c>
      <c r="I834" s="7" t="e">
        <f>VLOOKUP(A834,'1201-29周均耗用'!$A$1:$C$602,3,FALSE)</f>
        <v>#N/A</v>
      </c>
    </row>
    <row r="835" spans="1:9">
      <c r="A835" s="13" t="s">
        <v>1675</v>
      </c>
      <c r="B835" s="14" t="s">
        <v>1676</v>
      </c>
      <c r="C835" s="13">
        <v>0</v>
      </c>
      <c r="D835" s="7">
        <f>IFERROR(VLOOKUP(A835,'1227-29耗量'!$A$1:$C$602,3,FALSE),0)</f>
        <v>0</v>
      </c>
      <c r="E835" s="7">
        <f t="shared" ref="E835:E898" si="26">C835-D835</f>
        <v>0</v>
      </c>
      <c r="F835" s="7" t="str">
        <f t="shared" ref="F835:F898" si="27">IFERROR(IF(E835=G835,"OK","錯誤"),"無資料")</f>
        <v>無資料</v>
      </c>
      <c r="G835" s="7" t="e">
        <f>VLOOKUP(A835,Sheet5!$A$2:$D$415,4,FALSE)</f>
        <v>#N/A</v>
      </c>
      <c r="H835" s="7" t="e">
        <f>VLOOKUP(A835,Sheet5!$A$2:$D$415,3,FALSE)</f>
        <v>#N/A</v>
      </c>
      <c r="I835" s="7">
        <f>VLOOKUP(A835,'1201-29周均耗用'!$A$1:$C$602,3,FALSE)</f>
        <v>1.5</v>
      </c>
    </row>
    <row r="836" spans="1:9">
      <c r="A836" s="13" t="s">
        <v>1677</v>
      </c>
      <c r="B836" s="14" t="s">
        <v>1678</v>
      </c>
      <c r="C836" s="13">
        <v>0</v>
      </c>
      <c r="D836" s="7">
        <f>IFERROR(VLOOKUP(A836,'1227-29耗量'!$A$1:$C$602,3,FALSE),0)</f>
        <v>0</v>
      </c>
      <c r="E836" s="7">
        <f t="shared" si="26"/>
        <v>0</v>
      </c>
      <c r="F836" s="7" t="str">
        <f t="shared" si="27"/>
        <v>無資料</v>
      </c>
      <c r="G836" s="7" t="e">
        <f>VLOOKUP(A836,Sheet5!$A$2:$D$415,4,FALSE)</f>
        <v>#N/A</v>
      </c>
      <c r="H836" s="7" t="e">
        <f>VLOOKUP(A836,Sheet5!$A$2:$D$415,3,FALSE)</f>
        <v>#N/A</v>
      </c>
      <c r="I836" s="7" t="e">
        <f>VLOOKUP(A836,'1201-29周均耗用'!$A$1:$C$602,3,FALSE)</f>
        <v>#N/A</v>
      </c>
    </row>
    <row r="837" spans="1:9">
      <c r="A837" s="13" t="s">
        <v>1679</v>
      </c>
      <c r="B837" s="14" t="s">
        <v>1680</v>
      </c>
      <c r="C837" s="13">
        <v>0</v>
      </c>
      <c r="D837" s="7">
        <f>IFERROR(VLOOKUP(A837,'1227-29耗量'!$A$1:$C$602,3,FALSE),0)</f>
        <v>0</v>
      </c>
      <c r="E837" s="7">
        <f t="shared" si="26"/>
        <v>0</v>
      </c>
      <c r="F837" s="7" t="str">
        <f t="shared" si="27"/>
        <v>無資料</v>
      </c>
      <c r="G837" s="7" t="e">
        <f>VLOOKUP(A837,Sheet5!$A$2:$D$415,4,FALSE)</f>
        <v>#N/A</v>
      </c>
      <c r="H837" s="7" t="e">
        <f>VLOOKUP(A837,Sheet5!$A$2:$D$415,3,FALSE)</f>
        <v>#N/A</v>
      </c>
      <c r="I837" s="7">
        <f>VLOOKUP(A837,'1201-29周均耗用'!$A$1:$C$602,3,FALSE)</f>
        <v>0.5</v>
      </c>
    </row>
    <row r="838" spans="1:9">
      <c r="A838" s="13" t="s">
        <v>1681</v>
      </c>
      <c r="B838" s="14" t="s">
        <v>1682</v>
      </c>
      <c r="C838" s="13">
        <v>0</v>
      </c>
      <c r="D838" s="7">
        <f>IFERROR(VLOOKUP(A838,'1227-29耗量'!$A$1:$C$602,3,FALSE),0)</f>
        <v>0</v>
      </c>
      <c r="E838" s="7">
        <f t="shared" si="26"/>
        <v>0</v>
      </c>
      <c r="F838" s="7" t="str">
        <f t="shared" si="27"/>
        <v>無資料</v>
      </c>
      <c r="G838" s="7" t="e">
        <f>VLOOKUP(A838,Sheet5!$A$2:$D$415,4,FALSE)</f>
        <v>#N/A</v>
      </c>
      <c r="H838" s="7" t="e">
        <f>VLOOKUP(A838,Sheet5!$A$2:$D$415,3,FALSE)</f>
        <v>#N/A</v>
      </c>
      <c r="I838" s="7" t="e">
        <f>VLOOKUP(A838,'1201-29周均耗用'!$A$1:$C$602,3,FALSE)</f>
        <v>#N/A</v>
      </c>
    </row>
    <row r="839" spans="1:9">
      <c r="A839" s="13" t="s">
        <v>1683</v>
      </c>
      <c r="B839" s="14" t="s">
        <v>1684</v>
      </c>
      <c r="C839" s="13">
        <v>80</v>
      </c>
      <c r="D839" s="7">
        <f>IFERROR(VLOOKUP(A839,'1227-29耗量'!$A$1:$C$602,3,FALSE),0)</f>
        <v>0</v>
      </c>
      <c r="E839" s="7">
        <f t="shared" si="26"/>
        <v>80</v>
      </c>
      <c r="F839" s="7" t="str">
        <f t="shared" si="27"/>
        <v>無資料</v>
      </c>
      <c r="G839" s="7" t="e">
        <f>VLOOKUP(A839,Sheet5!$A$2:$D$415,4,FALSE)</f>
        <v>#N/A</v>
      </c>
      <c r="H839" s="7" t="e">
        <f>VLOOKUP(A839,Sheet5!$A$2:$D$415,3,FALSE)</f>
        <v>#N/A</v>
      </c>
      <c r="I839" s="7" t="e">
        <f>VLOOKUP(A839,'1201-29周均耗用'!$A$1:$C$602,3,FALSE)</f>
        <v>#N/A</v>
      </c>
    </row>
    <row r="840" spans="1:9">
      <c r="A840" s="13" t="s">
        <v>1685</v>
      </c>
      <c r="B840" s="14" t="s">
        <v>1686</v>
      </c>
      <c r="C840" s="13">
        <v>3348</v>
      </c>
      <c r="D840" s="7">
        <f>VLOOKUP(A840,'1227-29耗量'!$A$1:$C$602,3,FALSE)</f>
        <v>253</v>
      </c>
      <c r="E840" s="7">
        <f t="shared" si="26"/>
        <v>3095</v>
      </c>
      <c r="F840" s="7" t="str">
        <f t="shared" si="27"/>
        <v>錯誤</v>
      </c>
      <c r="G840" s="7">
        <f>VLOOKUP(A840,Sheet5!$A$2:$D$415,4,FALSE)</f>
        <v>1419</v>
      </c>
      <c r="H840" s="7">
        <f>VLOOKUP(A840,Sheet5!$A$2:$D$415,3,FALSE)</f>
        <v>4200</v>
      </c>
      <c r="I840" s="7" t="e">
        <f>VLOOKUP(A840,'1201-29周均耗用'!$A$1:$C$602,3,FALSE)</f>
        <v>#N/A</v>
      </c>
    </row>
    <row r="841" spans="1:9">
      <c r="A841" s="13" t="s">
        <v>1687</v>
      </c>
      <c r="B841" s="14" t="s">
        <v>1688</v>
      </c>
      <c r="C841" s="13">
        <v>865</v>
      </c>
      <c r="D841" s="7">
        <f>VLOOKUP(A841,'1227-29耗量'!$A$1:$C$602,3,FALSE)</f>
        <v>64</v>
      </c>
      <c r="E841" s="7">
        <f t="shared" si="26"/>
        <v>801</v>
      </c>
      <c r="F841" s="7" t="str">
        <f t="shared" si="27"/>
        <v>錯誤</v>
      </c>
      <c r="G841" s="7">
        <f>VLOOKUP(A841,Sheet5!$A$2:$D$415,4,FALSE)</f>
        <v>498</v>
      </c>
      <c r="H841" s="7">
        <f>VLOOKUP(A841,Sheet5!$A$2:$D$415,3,FALSE)</f>
        <v>1440</v>
      </c>
      <c r="I841" s="7">
        <f>VLOOKUP(A841,'1201-29周均耗用'!$A$1:$C$602,3,FALSE)</f>
        <v>482.5</v>
      </c>
    </row>
    <row r="842" spans="1:9">
      <c r="A842" s="13" t="s">
        <v>1689</v>
      </c>
      <c r="B842" s="14" t="s">
        <v>1690</v>
      </c>
      <c r="C842" s="13">
        <v>42</v>
      </c>
      <c r="D842" s="7">
        <f>VLOOKUP(A842,'1227-29耗量'!$A$1:$C$602,3,FALSE)</f>
        <v>2</v>
      </c>
      <c r="E842" s="7">
        <f t="shared" si="26"/>
        <v>40</v>
      </c>
      <c r="F842" s="7" t="str">
        <f t="shared" si="27"/>
        <v>錯誤</v>
      </c>
      <c r="G842" s="7">
        <f>VLOOKUP(A842,Sheet5!$A$2:$D$415,4,FALSE)</f>
        <v>14</v>
      </c>
      <c r="H842" s="7">
        <f>VLOOKUP(A842,Sheet5!$A$2:$D$415,3,FALSE)</f>
        <v>24</v>
      </c>
      <c r="I842" s="7" t="e">
        <f>VLOOKUP(A842,'1201-29周均耗用'!$A$1:$C$602,3,FALSE)</f>
        <v>#N/A</v>
      </c>
    </row>
    <row r="843" spans="1:9">
      <c r="A843" s="13" t="s">
        <v>1691</v>
      </c>
      <c r="B843" s="14" t="s">
        <v>1692</v>
      </c>
      <c r="C843" s="13">
        <v>309</v>
      </c>
      <c r="D843" s="7">
        <f>VLOOKUP(A843,'1227-29耗量'!$A$1:$C$602,3,FALSE)</f>
        <v>5</v>
      </c>
      <c r="E843" s="7">
        <f t="shared" si="26"/>
        <v>304</v>
      </c>
      <c r="F843" s="7" t="str">
        <f t="shared" si="27"/>
        <v>錯誤</v>
      </c>
      <c r="G843" s="7">
        <f>VLOOKUP(A843,Sheet5!$A$2:$D$415,4,FALSE)</f>
        <v>39</v>
      </c>
      <c r="H843" s="7">
        <f>VLOOKUP(A843,Sheet5!$A$2:$D$415,3,FALSE)</f>
        <v>140</v>
      </c>
      <c r="I843" s="7" t="e">
        <f>VLOOKUP(A843,'1201-29周均耗用'!$A$1:$C$602,3,FALSE)</f>
        <v>#N/A</v>
      </c>
    </row>
    <row r="844" spans="1:9">
      <c r="A844" s="13" t="s">
        <v>1693</v>
      </c>
      <c r="B844" s="14" t="s">
        <v>1694</v>
      </c>
      <c r="C844" s="13">
        <v>821</v>
      </c>
      <c r="D844" s="7">
        <f>IFERROR(VLOOKUP(A844,'1227-29耗量'!$A$1:$C$602,3,FALSE),0)</f>
        <v>0</v>
      </c>
      <c r="E844" s="7">
        <f t="shared" si="26"/>
        <v>821</v>
      </c>
      <c r="F844" s="7" t="str">
        <f t="shared" si="27"/>
        <v>無資料</v>
      </c>
      <c r="G844" s="7" t="e">
        <f>VLOOKUP(A844,Sheet5!$A$2:$D$415,4,FALSE)</f>
        <v>#N/A</v>
      </c>
      <c r="H844" s="7" t="e">
        <f>VLOOKUP(A844,Sheet5!$A$2:$D$415,3,FALSE)</f>
        <v>#N/A</v>
      </c>
      <c r="I844" s="7" t="e">
        <f>VLOOKUP(A844,'1201-29周均耗用'!$A$1:$C$602,3,FALSE)</f>
        <v>#N/A</v>
      </c>
    </row>
    <row r="845" spans="1:9">
      <c r="A845" s="13" t="s">
        <v>1695</v>
      </c>
      <c r="B845" s="14" t="s">
        <v>1696</v>
      </c>
      <c r="C845" s="13">
        <v>0</v>
      </c>
      <c r="D845" s="7">
        <f>IFERROR(VLOOKUP(A845,'1227-29耗量'!$A$1:$C$602,3,FALSE),0)</f>
        <v>1</v>
      </c>
      <c r="E845" s="7">
        <f t="shared" si="26"/>
        <v>-1</v>
      </c>
      <c r="F845" s="7" t="str">
        <f t="shared" si="27"/>
        <v>無資料</v>
      </c>
      <c r="G845" s="7" t="e">
        <f>VLOOKUP(A845,Sheet5!$A$2:$D$415,4,FALSE)</f>
        <v>#N/A</v>
      </c>
      <c r="H845" s="7" t="e">
        <f>VLOOKUP(A845,Sheet5!$A$2:$D$415,3,FALSE)</f>
        <v>#N/A</v>
      </c>
      <c r="I845" s="7">
        <f>VLOOKUP(A845,'1201-29周均耗用'!$A$1:$C$602,3,FALSE)</f>
        <v>0.5</v>
      </c>
    </row>
    <row r="846" spans="1:9">
      <c r="A846" s="13" t="s">
        <v>1697</v>
      </c>
      <c r="B846" s="14" t="s">
        <v>1698</v>
      </c>
      <c r="C846" s="13">
        <v>0</v>
      </c>
      <c r="D846" s="7">
        <f>IFERROR(VLOOKUP(A846,'1227-29耗量'!$A$1:$C$602,3,FALSE),0)</f>
        <v>0</v>
      </c>
      <c r="E846" s="7">
        <f t="shared" si="26"/>
        <v>0</v>
      </c>
      <c r="F846" s="7" t="str">
        <f t="shared" si="27"/>
        <v>無資料</v>
      </c>
      <c r="G846" s="7" t="e">
        <f>VLOOKUP(A846,Sheet5!$A$2:$D$415,4,FALSE)</f>
        <v>#N/A</v>
      </c>
      <c r="H846" s="7" t="e">
        <f>VLOOKUP(A846,Sheet5!$A$2:$D$415,3,FALSE)</f>
        <v>#N/A</v>
      </c>
      <c r="I846" s="7" t="e">
        <f>VLOOKUP(A846,'1201-29周均耗用'!$A$1:$C$602,3,FALSE)</f>
        <v>#N/A</v>
      </c>
    </row>
    <row r="847" spans="1:9">
      <c r="A847" s="13" t="s">
        <v>1699</v>
      </c>
      <c r="B847" s="14" t="s">
        <v>1700</v>
      </c>
      <c r="C847" s="13">
        <v>0</v>
      </c>
      <c r="D847" s="7">
        <f>IFERROR(VLOOKUP(A847,'1227-29耗量'!$A$1:$C$602,3,FALSE),0)</f>
        <v>0</v>
      </c>
      <c r="E847" s="7">
        <f t="shared" si="26"/>
        <v>0</v>
      </c>
      <c r="F847" s="7" t="str">
        <f t="shared" si="27"/>
        <v>無資料</v>
      </c>
      <c r="G847" s="7" t="e">
        <f>VLOOKUP(A847,Sheet5!$A$2:$D$415,4,FALSE)</f>
        <v>#N/A</v>
      </c>
      <c r="H847" s="7" t="e">
        <f>VLOOKUP(A847,Sheet5!$A$2:$D$415,3,FALSE)</f>
        <v>#N/A</v>
      </c>
      <c r="I847" s="7" t="e">
        <f>VLOOKUP(A847,'1201-29周均耗用'!$A$1:$C$602,3,FALSE)</f>
        <v>#N/A</v>
      </c>
    </row>
    <row r="848" spans="1:9">
      <c r="A848" s="13" t="s">
        <v>1701</v>
      </c>
      <c r="B848" s="14" t="s">
        <v>1702</v>
      </c>
      <c r="C848" s="13">
        <v>870</v>
      </c>
      <c r="D848" s="7">
        <f>VLOOKUP(A848,'1227-29耗量'!$A$1:$C$602,3,FALSE)</f>
        <v>23</v>
      </c>
      <c r="E848" s="7">
        <f t="shared" si="26"/>
        <v>847</v>
      </c>
      <c r="F848" s="7" t="str">
        <f t="shared" si="27"/>
        <v>錯誤</v>
      </c>
      <c r="G848" s="7">
        <f>VLOOKUP(A848,Sheet5!$A$2:$D$415,4,FALSE)</f>
        <v>385</v>
      </c>
      <c r="H848" s="7">
        <f>VLOOKUP(A848,Sheet5!$A$2:$D$415,3,FALSE)</f>
        <v>1000</v>
      </c>
      <c r="I848" s="7" t="e">
        <f>VLOOKUP(A848,'1201-29周均耗用'!$A$1:$C$602,3,FALSE)</f>
        <v>#N/A</v>
      </c>
    </row>
    <row r="849" spans="1:9">
      <c r="A849" s="13" t="s">
        <v>1703</v>
      </c>
      <c r="B849" s="14" t="s">
        <v>1704</v>
      </c>
      <c r="C849" s="13">
        <v>90</v>
      </c>
      <c r="D849" s="7">
        <f>VLOOKUP(A849,'1227-29耗量'!$A$1:$C$602,3,FALSE)</f>
        <v>1</v>
      </c>
      <c r="E849" s="7">
        <f t="shared" si="26"/>
        <v>89</v>
      </c>
      <c r="F849" s="7" t="str">
        <f t="shared" si="27"/>
        <v>錯誤</v>
      </c>
      <c r="G849" s="7">
        <f>VLOOKUP(A849,Sheet5!$A$2:$D$415,4,FALSE)</f>
        <v>14</v>
      </c>
      <c r="H849" s="7">
        <f>VLOOKUP(A849,Sheet5!$A$2:$D$415,3,FALSE)</f>
        <v>120</v>
      </c>
      <c r="I849" s="7" t="e">
        <f>VLOOKUP(A849,'1201-29周均耗用'!$A$1:$C$602,3,FALSE)</f>
        <v>#N/A</v>
      </c>
    </row>
    <row r="850" spans="1:9">
      <c r="A850" s="13" t="s">
        <v>1705</v>
      </c>
      <c r="B850" s="14" t="s">
        <v>1706</v>
      </c>
      <c r="C850" s="13">
        <v>99</v>
      </c>
      <c r="D850" s="7">
        <f>IFERROR(VLOOKUP(A850,'1227-29耗量'!$A$1:$C$602,3,FALSE),0)</f>
        <v>0</v>
      </c>
      <c r="E850" s="7">
        <f t="shared" si="26"/>
        <v>99</v>
      </c>
      <c r="F850" s="7" t="str">
        <f t="shared" si="27"/>
        <v>無資料</v>
      </c>
      <c r="G850" s="7" t="e">
        <f>VLOOKUP(A850,Sheet5!$A$2:$D$415,4,FALSE)</f>
        <v>#N/A</v>
      </c>
      <c r="H850" s="7" t="e">
        <f>VLOOKUP(A850,Sheet5!$A$2:$D$415,3,FALSE)</f>
        <v>#N/A</v>
      </c>
      <c r="I850" s="7" t="e">
        <f>VLOOKUP(A850,'1201-29周均耗用'!$A$1:$C$602,3,FALSE)</f>
        <v>#N/A</v>
      </c>
    </row>
    <row r="851" spans="1:9">
      <c r="A851" s="13" t="s">
        <v>1707</v>
      </c>
      <c r="B851" s="14" t="s">
        <v>1708</v>
      </c>
      <c r="C851" s="13">
        <v>30</v>
      </c>
      <c r="D851" s="7">
        <f>IFERROR(VLOOKUP(A851,'1227-29耗量'!$A$1:$C$602,3,FALSE),0)</f>
        <v>0</v>
      </c>
      <c r="E851" s="7">
        <f t="shared" si="26"/>
        <v>30</v>
      </c>
      <c r="F851" s="7" t="str">
        <f t="shared" si="27"/>
        <v>無資料</v>
      </c>
      <c r="G851" s="7" t="e">
        <f>VLOOKUP(A851,Sheet5!$A$2:$D$415,4,FALSE)</f>
        <v>#N/A</v>
      </c>
      <c r="H851" s="7" t="e">
        <f>VLOOKUP(A851,Sheet5!$A$2:$D$415,3,FALSE)</f>
        <v>#N/A</v>
      </c>
      <c r="I851" s="7" t="e">
        <f>VLOOKUP(A851,'1201-29周均耗用'!$A$1:$C$602,3,FALSE)</f>
        <v>#N/A</v>
      </c>
    </row>
    <row r="852" spans="1:9">
      <c r="A852" s="13" t="s">
        <v>1709</v>
      </c>
      <c r="B852" s="14" t="s">
        <v>1710</v>
      </c>
      <c r="C852" s="13">
        <v>0</v>
      </c>
      <c r="D852" s="7">
        <f>IFERROR(VLOOKUP(A852,'1227-29耗量'!$A$1:$C$602,3,FALSE),0)</f>
        <v>0</v>
      </c>
      <c r="E852" s="7">
        <f t="shared" si="26"/>
        <v>0</v>
      </c>
      <c r="F852" s="7" t="str">
        <f t="shared" si="27"/>
        <v>無資料</v>
      </c>
      <c r="G852" s="7" t="e">
        <f>VLOOKUP(A852,Sheet5!$A$2:$D$415,4,FALSE)</f>
        <v>#N/A</v>
      </c>
      <c r="H852" s="7" t="e">
        <f>VLOOKUP(A852,Sheet5!$A$2:$D$415,3,FALSE)</f>
        <v>#N/A</v>
      </c>
      <c r="I852" s="7" t="e">
        <f>VLOOKUP(A852,'1201-29周均耗用'!$A$1:$C$602,3,FALSE)</f>
        <v>#N/A</v>
      </c>
    </row>
    <row r="853" spans="1:9">
      <c r="A853" s="13" t="s">
        <v>1711</v>
      </c>
      <c r="B853" s="14" t="s">
        <v>1712</v>
      </c>
      <c r="C853" s="13">
        <v>0</v>
      </c>
      <c r="D853" s="7">
        <f>IFERROR(VLOOKUP(A853,'1227-29耗量'!$A$1:$C$602,3,FALSE),0)</f>
        <v>0</v>
      </c>
      <c r="E853" s="7">
        <f t="shared" si="26"/>
        <v>0</v>
      </c>
      <c r="F853" s="7" t="str">
        <f t="shared" si="27"/>
        <v>無資料</v>
      </c>
      <c r="G853" s="7" t="e">
        <f>VLOOKUP(A853,Sheet5!$A$2:$D$415,4,FALSE)</f>
        <v>#N/A</v>
      </c>
      <c r="H853" s="7" t="e">
        <f>VLOOKUP(A853,Sheet5!$A$2:$D$415,3,FALSE)</f>
        <v>#N/A</v>
      </c>
      <c r="I853" s="7" t="e">
        <f>VLOOKUP(A853,'1201-29周均耗用'!$A$1:$C$602,3,FALSE)</f>
        <v>#N/A</v>
      </c>
    </row>
    <row r="854" spans="1:9">
      <c r="A854" s="13" t="s">
        <v>1713</v>
      </c>
      <c r="B854" s="14" t="s">
        <v>1714</v>
      </c>
      <c r="C854" s="13">
        <v>234</v>
      </c>
      <c r="D854" s="7">
        <f>VLOOKUP(A854,'1227-29耗量'!$A$1:$C$602,3,FALSE)</f>
        <v>2</v>
      </c>
      <c r="E854" s="7">
        <f t="shared" si="26"/>
        <v>232</v>
      </c>
      <c r="F854" s="7" t="str">
        <f t="shared" si="27"/>
        <v>錯誤</v>
      </c>
      <c r="G854" s="7">
        <f>VLOOKUP(A854,Sheet5!$A$2:$D$415,4,FALSE)</f>
        <v>146</v>
      </c>
      <c r="H854" s="7">
        <f>VLOOKUP(A854,Sheet5!$A$2:$D$415,3,FALSE)</f>
        <v>300</v>
      </c>
      <c r="I854" s="7">
        <f>VLOOKUP(A854,'1201-29周均耗用'!$A$1:$C$602,3,FALSE)</f>
        <v>26.2</v>
      </c>
    </row>
    <row r="855" spans="1:9">
      <c r="A855" s="13" t="s">
        <v>1715</v>
      </c>
      <c r="B855" s="14" t="s">
        <v>1716</v>
      </c>
      <c r="C855" s="13">
        <v>0</v>
      </c>
      <c r="D855" s="7">
        <f>IFERROR(VLOOKUP(A855,'1227-29耗量'!$A$1:$C$602,3,FALSE),0)</f>
        <v>0</v>
      </c>
      <c r="E855" s="7">
        <f t="shared" si="26"/>
        <v>0</v>
      </c>
      <c r="F855" s="7" t="str">
        <f t="shared" si="27"/>
        <v>無資料</v>
      </c>
      <c r="G855" s="7" t="e">
        <f>VLOOKUP(A855,Sheet5!$A$2:$D$415,4,FALSE)</f>
        <v>#N/A</v>
      </c>
      <c r="H855" s="7" t="e">
        <f>VLOOKUP(A855,Sheet5!$A$2:$D$415,3,FALSE)</f>
        <v>#N/A</v>
      </c>
      <c r="I855" s="7" t="e">
        <f>VLOOKUP(A855,'1201-29周均耗用'!$A$1:$C$602,3,FALSE)</f>
        <v>#N/A</v>
      </c>
    </row>
    <row r="856" spans="1:9">
      <c r="A856" s="13" t="s">
        <v>1717</v>
      </c>
      <c r="B856" s="14" t="s">
        <v>1718</v>
      </c>
      <c r="C856" s="13">
        <v>2</v>
      </c>
      <c r="D856" s="7">
        <f>VLOOKUP(A856,'1227-29耗量'!$A$1:$C$602,3,FALSE)</f>
        <v>-1</v>
      </c>
      <c r="E856" s="7">
        <f t="shared" si="26"/>
        <v>3</v>
      </c>
      <c r="F856" s="7" t="str">
        <f t="shared" si="27"/>
        <v>OK</v>
      </c>
      <c r="G856" s="7">
        <f>VLOOKUP(A856,Sheet5!$A$2:$D$415,4,FALSE)</f>
        <v>3</v>
      </c>
      <c r="H856" s="7">
        <f>VLOOKUP(A856,Sheet5!$A$2:$D$415,3,FALSE)</f>
        <v>4</v>
      </c>
      <c r="I856" s="7">
        <f>VLOOKUP(A856,'1201-29周均耗用'!$A$1:$C$602,3,FALSE)</f>
        <v>1</v>
      </c>
    </row>
    <row r="857" spans="1:9">
      <c r="A857" s="13" t="s">
        <v>1719</v>
      </c>
      <c r="B857" s="14" t="s">
        <v>1720</v>
      </c>
      <c r="C857" s="13">
        <v>10</v>
      </c>
      <c r="D857" s="7">
        <f>IFERROR(VLOOKUP(A857,'1227-29耗量'!$A$1:$C$602,3,FALSE),0)</f>
        <v>0</v>
      </c>
      <c r="E857" s="7">
        <f t="shared" si="26"/>
        <v>10</v>
      </c>
      <c r="F857" s="7" t="str">
        <f t="shared" si="27"/>
        <v>無資料</v>
      </c>
      <c r="G857" s="7" t="e">
        <f>VLOOKUP(A857,Sheet5!$A$2:$D$415,4,FALSE)</f>
        <v>#N/A</v>
      </c>
      <c r="H857" s="7" t="e">
        <f>VLOOKUP(A857,Sheet5!$A$2:$D$415,3,FALSE)</f>
        <v>#N/A</v>
      </c>
      <c r="I857" s="7" t="e">
        <f>VLOOKUP(A857,'1201-29周均耗用'!$A$1:$C$602,3,FALSE)</f>
        <v>#N/A</v>
      </c>
    </row>
    <row r="858" spans="1:9">
      <c r="A858" s="13" t="s">
        <v>1721</v>
      </c>
      <c r="B858" s="14" t="s">
        <v>1722</v>
      </c>
      <c r="C858" s="13">
        <v>68</v>
      </c>
      <c r="D858" s="7">
        <f>IFERROR(VLOOKUP(A858,'1227-29耗量'!$A$1:$C$602,3,FALSE),0)</f>
        <v>0</v>
      </c>
      <c r="E858" s="7">
        <f t="shared" si="26"/>
        <v>68</v>
      </c>
      <c r="F858" s="7" t="str">
        <f t="shared" si="27"/>
        <v>無資料</v>
      </c>
      <c r="G858" s="7" t="e">
        <f>VLOOKUP(A858,Sheet5!$A$2:$D$415,4,FALSE)</f>
        <v>#N/A</v>
      </c>
      <c r="H858" s="7" t="e">
        <f>VLOOKUP(A858,Sheet5!$A$2:$D$415,3,FALSE)</f>
        <v>#N/A</v>
      </c>
      <c r="I858" s="7" t="e">
        <f>VLOOKUP(A858,'1201-29周均耗用'!$A$1:$C$602,3,FALSE)</f>
        <v>#N/A</v>
      </c>
    </row>
    <row r="859" spans="1:9">
      <c r="A859" s="13" t="s">
        <v>1723</v>
      </c>
      <c r="B859" s="14" t="s">
        <v>1724</v>
      </c>
      <c r="C859" s="13">
        <v>0</v>
      </c>
      <c r="D859" s="7">
        <f>IFERROR(VLOOKUP(A859,'1227-29耗量'!$A$1:$C$602,3,FALSE),0)</f>
        <v>0</v>
      </c>
      <c r="E859" s="7">
        <f t="shared" si="26"/>
        <v>0</v>
      </c>
      <c r="F859" s="7" t="str">
        <f t="shared" si="27"/>
        <v>無資料</v>
      </c>
      <c r="G859" s="7" t="e">
        <f>VLOOKUP(A859,Sheet5!$A$2:$D$415,4,FALSE)</f>
        <v>#N/A</v>
      </c>
      <c r="H859" s="7" t="e">
        <f>VLOOKUP(A859,Sheet5!$A$2:$D$415,3,FALSE)</f>
        <v>#N/A</v>
      </c>
      <c r="I859" s="7" t="e">
        <f>VLOOKUP(A859,'1201-29周均耗用'!$A$1:$C$602,3,FALSE)</f>
        <v>#N/A</v>
      </c>
    </row>
    <row r="860" spans="1:9">
      <c r="A860" s="13" t="s">
        <v>1725</v>
      </c>
      <c r="B860" s="14" t="s">
        <v>1726</v>
      </c>
      <c r="C860" s="13">
        <v>0</v>
      </c>
      <c r="D860" s="7">
        <f>IFERROR(VLOOKUP(A860,'1227-29耗量'!$A$1:$C$602,3,FALSE),0)</f>
        <v>0</v>
      </c>
      <c r="E860" s="7">
        <f t="shared" si="26"/>
        <v>0</v>
      </c>
      <c r="F860" s="7" t="str">
        <f t="shared" si="27"/>
        <v>無資料</v>
      </c>
      <c r="G860" s="7" t="e">
        <f>VLOOKUP(A860,Sheet5!$A$2:$D$415,4,FALSE)</f>
        <v>#N/A</v>
      </c>
      <c r="H860" s="7" t="e">
        <f>VLOOKUP(A860,Sheet5!$A$2:$D$415,3,FALSE)</f>
        <v>#N/A</v>
      </c>
      <c r="I860" s="7" t="e">
        <f>VLOOKUP(A860,'1201-29周均耗用'!$A$1:$C$602,3,FALSE)</f>
        <v>#N/A</v>
      </c>
    </row>
    <row r="861" spans="1:9">
      <c r="A861" s="13" t="s">
        <v>1727</v>
      </c>
      <c r="B861" s="14" t="s">
        <v>1728</v>
      </c>
      <c r="C861" s="13">
        <v>313</v>
      </c>
      <c r="D861" s="7">
        <f>VLOOKUP(A861,'1227-29耗量'!$A$1:$C$602,3,FALSE)</f>
        <v>31</v>
      </c>
      <c r="E861" s="7">
        <f t="shared" si="26"/>
        <v>282</v>
      </c>
      <c r="F861" s="7" t="str">
        <f t="shared" si="27"/>
        <v>錯誤</v>
      </c>
      <c r="G861" s="7">
        <f>VLOOKUP(A861,Sheet5!$A$2:$D$415,4,FALSE)</f>
        <v>353</v>
      </c>
      <c r="H861" s="7">
        <f>VLOOKUP(A861,Sheet5!$A$2:$D$415,3,FALSE)</f>
        <v>800</v>
      </c>
      <c r="I861" s="7">
        <f>VLOOKUP(A861,'1201-29周均耗用'!$A$1:$C$602,3,FALSE)</f>
        <v>188.2</v>
      </c>
    </row>
    <row r="862" spans="1:9">
      <c r="A862" s="13" t="s">
        <v>1729</v>
      </c>
      <c r="B862" s="14" t="s">
        <v>1730</v>
      </c>
      <c r="C862" s="13">
        <v>2142</v>
      </c>
      <c r="D862" s="7">
        <f>VLOOKUP(A862,'1227-29耗量'!$A$1:$C$602,3,FALSE)</f>
        <v>40</v>
      </c>
      <c r="E862" s="7">
        <f t="shared" si="26"/>
        <v>2102</v>
      </c>
      <c r="F862" s="7" t="str">
        <f t="shared" si="27"/>
        <v>錯誤</v>
      </c>
      <c r="G862" s="7">
        <f>VLOOKUP(A862,Sheet5!$A$2:$D$415,4,FALSE)</f>
        <v>1198</v>
      </c>
      <c r="H862" s="7">
        <f>VLOOKUP(A862,Sheet5!$A$2:$D$415,3,FALSE)</f>
        <v>1000</v>
      </c>
      <c r="I862" s="7" t="e">
        <f>VLOOKUP(A862,'1201-29周均耗用'!$A$1:$C$602,3,FALSE)</f>
        <v>#N/A</v>
      </c>
    </row>
    <row r="863" spans="1:9">
      <c r="A863" s="13" t="s">
        <v>1731</v>
      </c>
      <c r="B863" s="14" t="s">
        <v>1732</v>
      </c>
      <c r="C863" s="13">
        <v>6</v>
      </c>
      <c r="D863" s="7">
        <f>IFERROR(VLOOKUP(A863,'1227-29耗量'!$A$1:$C$602,3,FALSE),0)</f>
        <v>1</v>
      </c>
      <c r="E863" s="7">
        <f t="shared" si="26"/>
        <v>5</v>
      </c>
      <c r="F863" s="7" t="str">
        <f t="shared" si="27"/>
        <v>無資料</v>
      </c>
      <c r="G863" s="7" t="e">
        <f>VLOOKUP(A863,Sheet5!$A$2:$D$415,4,FALSE)</f>
        <v>#N/A</v>
      </c>
      <c r="H863" s="7" t="e">
        <f>VLOOKUP(A863,Sheet5!$A$2:$D$415,3,FALSE)</f>
        <v>#N/A</v>
      </c>
      <c r="I863" s="7" t="e">
        <f>VLOOKUP(A863,'1201-29周均耗用'!$A$1:$C$602,3,FALSE)</f>
        <v>#N/A</v>
      </c>
    </row>
    <row r="864" spans="1:9">
      <c r="A864" s="13" t="s">
        <v>1733</v>
      </c>
      <c r="B864" s="14" t="s">
        <v>1734</v>
      </c>
      <c r="C864" s="13">
        <v>0</v>
      </c>
      <c r="D864" s="7">
        <f>IFERROR(VLOOKUP(A864,'1227-29耗量'!$A$1:$C$602,3,FALSE),0)</f>
        <v>0</v>
      </c>
      <c r="E864" s="7">
        <f t="shared" si="26"/>
        <v>0</v>
      </c>
      <c r="F864" s="7" t="str">
        <f t="shared" si="27"/>
        <v>無資料</v>
      </c>
      <c r="G864" s="7" t="e">
        <f>VLOOKUP(A864,Sheet5!$A$2:$D$415,4,FALSE)</f>
        <v>#N/A</v>
      </c>
      <c r="H864" s="7" t="e">
        <f>VLOOKUP(A864,Sheet5!$A$2:$D$415,3,FALSE)</f>
        <v>#N/A</v>
      </c>
      <c r="I864" s="7" t="e">
        <f>VLOOKUP(A864,'1201-29周均耗用'!$A$1:$C$602,3,FALSE)</f>
        <v>#N/A</v>
      </c>
    </row>
    <row r="865" spans="1:9">
      <c r="A865" s="13" t="s">
        <v>1735</v>
      </c>
      <c r="B865" s="14" t="s">
        <v>1736</v>
      </c>
      <c r="C865" s="13">
        <v>525</v>
      </c>
      <c r="D865" s="7">
        <f>IFERROR(VLOOKUP(A865,'1227-29耗量'!$A$1:$C$602,3,FALSE),0)</f>
        <v>1</v>
      </c>
      <c r="E865" s="7">
        <f t="shared" si="26"/>
        <v>524</v>
      </c>
      <c r="F865" s="7" t="str">
        <f t="shared" si="27"/>
        <v>無資料</v>
      </c>
      <c r="G865" s="7" t="e">
        <f>VLOOKUP(A865,Sheet5!$A$2:$D$415,4,FALSE)</f>
        <v>#N/A</v>
      </c>
      <c r="H865" s="7" t="e">
        <f>VLOOKUP(A865,Sheet5!$A$2:$D$415,3,FALSE)</f>
        <v>#N/A</v>
      </c>
      <c r="I865" s="7" t="e">
        <f>VLOOKUP(A865,'1201-29周均耗用'!$A$1:$C$602,3,FALSE)</f>
        <v>#N/A</v>
      </c>
    </row>
    <row r="866" spans="1:9">
      <c r="A866" s="13" t="s">
        <v>1737</v>
      </c>
      <c r="B866" s="14" t="s">
        <v>1738</v>
      </c>
      <c r="C866" s="13">
        <v>0</v>
      </c>
      <c r="D866" s="7">
        <f>IFERROR(VLOOKUP(A866,'1227-29耗量'!$A$1:$C$602,3,FALSE),0)</f>
        <v>0</v>
      </c>
      <c r="E866" s="7">
        <f t="shared" si="26"/>
        <v>0</v>
      </c>
      <c r="F866" s="7" t="str">
        <f t="shared" si="27"/>
        <v>無資料</v>
      </c>
      <c r="G866" s="7" t="e">
        <f>VLOOKUP(A866,Sheet5!$A$2:$D$415,4,FALSE)</f>
        <v>#N/A</v>
      </c>
      <c r="H866" s="7" t="e">
        <f>VLOOKUP(A866,Sheet5!$A$2:$D$415,3,FALSE)</f>
        <v>#N/A</v>
      </c>
      <c r="I866" s="7" t="e">
        <f>VLOOKUP(A866,'1201-29周均耗用'!$A$1:$C$602,3,FALSE)</f>
        <v>#N/A</v>
      </c>
    </row>
    <row r="867" spans="1:9">
      <c r="A867" s="13" t="s">
        <v>1739</v>
      </c>
      <c r="B867" s="14" t="s">
        <v>1740</v>
      </c>
      <c r="C867" s="13">
        <v>0</v>
      </c>
      <c r="D867" s="7">
        <f>IFERROR(VLOOKUP(A867,'1227-29耗量'!$A$1:$C$602,3,FALSE),0)</f>
        <v>0</v>
      </c>
      <c r="E867" s="7">
        <f t="shared" si="26"/>
        <v>0</v>
      </c>
      <c r="F867" s="7" t="str">
        <f t="shared" si="27"/>
        <v>無資料</v>
      </c>
      <c r="G867" s="7" t="e">
        <f>VLOOKUP(A867,Sheet5!$A$2:$D$415,4,FALSE)</f>
        <v>#N/A</v>
      </c>
      <c r="H867" s="7" t="e">
        <f>VLOOKUP(A867,Sheet5!$A$2:$D$415,3,FALSE)</f>
        <v>#N/A</v>
      </c>
      <c r="I867" s="7" t="e">
        <f>VLOOKUP(A867,'1201-29周均耗用'!$A$1:$C$602,3,FALSE)</f>
        <v>#N/A</v>
      </c>
    </row>
    <row r="868" spans="1:9">
      <c r="A868" s="13" t="s">
        <v>1741</v>
      </c>
      <c r="B868" s="14" t="s">
        <v>1742</v>
      </c>
      <c r="C868" s="13">
        <v>0</v>
      </c>
      <c r="D868" s="7">
        <f>IFERROR(VLOOKUP(A868,'1227-29耗量'!$A$1:$C$602,3,FALSE),0)</f>
        <v>0</v>
      </c>
      <c r="E868" s="7">
        <f t="shared" si="26"/>
        <v>0</v>
      </c>
      <c r="F868" s="7" t="str">
        <f t="shared" si="27"/>
        <v>無資料</v>
      </c>
      <c r="G868" s="7" t="e">
        <f>VLOOKUP(A868,Sheet5!$A$2:$D$415,4,FALSE)</f>
        <v>#N/A</v>
      </c>
      <c r="H868" s="7" t="e">
        <f>VLOOKUP(A868,Sheet5!$A$2:$D$415,3,FALSE)</f>
        <v>#N/A</v>
      </c>
      <c r="I868" s="7" t="e">
        <f>VLOOKUP(A868,'1201-29周均耗用'!$A$1:$C$602,3,FALSE)</f>
        <v>#N/A</v>
      </c>
    </row>
    <row r="869" spans="1:9">
      <c r="A869" s="13" t="s">
        <v>1743</v>
      </c>
      <c r="B869" s="14" t="s">
        <v>1744</v>
      </c>
      <c r="C869" s="13">
        <v>66</v>
      </c>
      <c r="D869" s="7">
        <f>VLOOKUP(A869,'1227-29耗量'!$A$1:$C$602,3,FALSE)</f>
        <v>4</v>
      </c>
      <c r="E869" s="7">
        <f t="shared" si="26"/>
        <v>62</v>
      </c>
      <c r="F869" s="7" t="str">
        <f t="shared" si="27"/>
        <v>錯誤</v>
      </c>
      <c r="G869" s="7">
        <f>VLOOKUP(A869,Sheet5!$A$2:$D$415,4,FALSE)</f>
        <v>32</v>
      </c>
      <c r="H869" s="7">
        <f>VLOOKUP(A869,Sheet5!$A$2:$D$415,3,FALSE)</f>
        <v>50</v>
      </c>
      <c r="I869" s="7">
        <f>VLOOKUP(A869,'1201-29周均耗用'!$A$1:$C$602,3,FALSE)</f>
        <v>15</v>
      </c>
    </row>
    <row r="870" spans="1:9">
      <c r="A870" s="13" t="s">
        <v>1745</v>
      </c>
      <c r="B870" s="14" t="s">
        <v>1746</v>
      </c>
      <c r="C870" s="13">
        <v>722</v>
      </c>
      <c r="D870" s="7">
        <f>VLOOKUP(A870,'1227-29耗量'!$A$1:$C$602,3,FALSE)</f>
        <v>14</v>
      </c>
      <c r="E870" s="7">
        <f t="shared" si="26"/>
        <v>708</v>
      </c>
      <c r="F870" s="7" t="str">
        <f t="shared" si="27"/>
        <v>錯誤</v>
      </c>
      <c r="G870" s="7">
        <f>VLOOKUP(A870,Sheet5!$A$2:$D$415,4,FALSE)</f>
        <v>402</v>
      </c>
      <c r="H870" s="7">
        <f>VLOOKUP(A870,Sheet5!$A$2:$D$415,3,FALSE)</f>
        <v>540</v>
      </c>
      <c r="I870" s="7" t="e">
        <f>VLOOKUP(A870,'1201-29周均耗用'!$A$1:$C$602,3,FALSE)</f>
        <v>#N/A</v>
      </c>
    </row>
    <row r="871" spans="1:9">
      <c r="A871" s="13" t="s">
        <v>1747</v>
      </c>
      <c r="B871" s="14" t="s">
        <v>1748</v>
      </c>
      <c r="C871" s="13">
        <v>2783</v>
      </c>
      <c r="D871" s="7">
        <f>VLOOKUP(A871,'1227-29耗量'!$A$1:$C$602,3,FALSE)</f>
        <v>240</v>
      </c>
      <c r="E871" s="7">
        <f t="shared" si="26"/>
        <v>2543</v>
      </c>
      <c r="F871" s="7" t="str">
        <f t="shared" si="27"/>
        <v>錯誤</v>
      </c>
      <c r="G871" s="7">
        <f>VLOOKUP(A871,Sheet5!$A$2:$D$415,4,FALSE)</f>
        <v>707</v>
      </c>
      <c r="H871" s="7">
        <f>VLOOKUP(A871,Sheet5!$A$2:$D$415,3,FALSE)</f>
        <v>2688</v>
      </c>
      <c r="I871" s="7" t="e">
        <f>VLOOKUP(A871,'1201-29周均耗用'!$A$1:$C$602,3,FALSE)</f>
        <v>#N/A</v>
      </c>
    </row>
    <row r="872" spans="1:9">
      <c r="A872" s="13" t="s">
        <v>1749</v>
      </c>
      <c r="B872" s="14" t="s">
        <v>1750</v>
      </c>
      <c r="C872" s="13">
        <v>28</v>
      </c>
      <c r="D872" s="7">
        <f>IFERROR(VLOOKUP(A872,'1227-29耗量'!$A$1:$C$602,3,FALSE),0)</f>
        <v>0</v>
      </c>
      <c r="E872" s="7">
        <f t="shared" si="26"/>
        <v>28</v>
      </c>
      <c r="F872" s="7" t="str">
        <f t="shared" si="27"/>
        <v>無資料</v>
      </c>
      <c r="G872" s="7" t="e">
        <f>VLOOKUP(A872,Sheet5!$A$2:$D$415,4,FALSE)</f>
        <v>#N/A</v>
      </c>
      <c r="H872" s="7" t="e">
        <f>VLOOKUP(A872,Sheet5!$A$2:$D$415,3,FALSE)</f>
        <v>#N/A</v>
      </c>
      <c r="I872" s="7" t="e">
        <f>VLOOKUP(A872,'1201-29周均耗用'!$A$1:$C$602,3,FALSE)</f>
        <v>#N/A</v>
      </c>
    </row>
    <row r="873" spans="1:9">
      <c r="A873" s="13" t="s">
        <v>1751</v>
      </c>
      <c r="B873" s="14" t="s">
        <v>1752</v>
      </c>
      <c r="C873" s="13">
        <v>479</v>
      </c>
      <c r="D873" s="7">
        <f>VLOOKUP(A873,'1227-29耗量'!$A$1:$C$602,3,FALSE)</f>
        <v>69</v>
      </c>
      <c r="E873" s="7">
        <f t="shared" si="26"/>
        <v>410</v>
      </c>
      <c r="F873" s="7" t="str">
        <f t="shared" si="27"/>
        <v>錯誤</v>
      </c>
      <c r="G873" s="7">
        <f>VLOOKUP(A873,Sheet5!$A$2:$D$415,4,FALSE)</f>
        <v>342</v>
      </c>
      <c r="H873" s="7">
        <f>VLOOKUP(A873,Sheet5!$A$2:$D$415,3,FALSE)</f>
        <v>1000</v>
      </c>
      <c r="I873" s="7" t="e">
        <f>VLOOKUP(A873,'1201-29周均耗用'!$A$1:$C$602,3,FALSE)</f>
        <v>#N/A</v>
      </c>
    </row>
    <row r="874" spans="1:9">
      <c r="A874" s="13" t="s">
        <v>1753</v>
      </c>
      <c r="B874" s="14" t="s">
        <v>1754</v>
      </c>
      <c r="C874" s="13">
        <v>0</v>
      </c>
      <c r="D874" s="7">
        <f>IFERROR(VLOOKUP(A874,'1227-29耗量'!$A$1:$C$602,3,FALSE),0)</f>
        <v>0</v>
      </c>
      <c r="E874" s="7">
        <f t="shared" si="26"/>
        <v>0</v>
      </c>
      <c r="F874" s="7" t="str">
        <f t="shared" si="27"/>
        <v>無資料</v>
      </c>
      <c r="G874" s="7" t="e">
        <f>VLOOKUP(A874,Sheet5!$A$2:$D$415,4,FALSE)</f>
        <v>#N/A</v>
      </c>
      <c r="H874" s="7" t="e">
        <f>VLOOKUP(A874,Sheet5!$A$2:$D$415,3,FALSE)</f>
        <v>#N/A</v>
      </c>
      <c r="I874" s="7" t="e">
        <f>VLOOKUP(A874,'1201-29周均耗用'!$A$1:$C$602,3,FALSE)</f>
        <v>#N/A</v>
      </c>
    </row>
    <row r="875" spans="1:9">
      <c r="A875" s="13" t="s">
        <v>1755</v>
      </c>
      <c r="B875" s="14" t="s">
        <v>1756</v>
      </c>
      <c r="C875" s="13">
        <v>74</v>
      </c>
      <c r="D875" s="7">
        <f>VLOOKUP(A875,'1227-29耗量'!$A$1:$C$602,3,FALSE)</f>
        <v>2</v>
      </c>
      <c r="E875" s="7">
        <f t="shared" si="26"/>
        <v>72</v>
      </c>
      <c r="F875" s="7" t="str">
        <f t="shared" si="27"/>
        <v>錯誤</v>
      </c>
      <c r="G875" s="7">
        <f>VLOOKUP(A875,Sheet5!$A$2:$D$415,4,FALSE)</f>
        <v>17</v>
      </c>
      <c r="H875" s="7">
        <f>VLOOKUP(A875,Sheet5!$A$2:$D$415,3,FALSE)</f>
        <v>30</v>
      </c>
      <c r="I875" s="7" t="e">
        <f>VLOOKUP(A875,'1201-29周均耗用'!$A$1:$C$602,3,FALSE)</f>
        <v>#N/A</v>
      </c>
    </row>
    <row r="876" spans="1:9">
      <c r="A876" s="13" t="s">
        <v>1757</v>
      </c>
      <c r="B876" s="14" t="s">
        <v>1758</v>
      </c>
      <c r="C876" s="13">
        <v>0</v>
      </c>
      <c r="D876" s="7">
        <f>IFERROR(VLOOKUP(A876,'1227-29耗量'!$A$1:$C$602,3,FALSE),0)</f>
        <v>0</v>
      </c>
      <c r="E876" s="7">
        <f t="shared" si="26"/>
        <v>0</v>
      </c>
      <c r="F876" s="7" t="str">
        <f t="shared" si="27"/>
        <v>無資料</v>
      </c>
      <c r="G876" s="7" t="e">
        <f>VLOOKUP(A876,Sheet5!$A$2:$D$415,4,FALSE)</f>
        <v>#N/A</v>
      </c>
      <c r="H876" s="7" t="e">
        <f>VLOOKUP(A876,Sheet5!$A$2:$D$415,3,FALSE)</f>
        <v>#N/A</v>
      </c>
      <c r="I876" s="7" t="e">
        <f>VLOOKUP(A876,'1201-29周均耗用'!$A$1:$C$602,3,FALSE)</f>
        <v>#N/A</v>
      </c>
    </row>
    <row r="877" spans="1:9">
      <c r="A877" s="13" t="s">
        <v>1759</v>
      </c>
      <c r="B877" s="14" t="s">
        <v>1760</v>
      </c>
      <c r="C877" s="13">
        <v>0</v>
      </c>
      <c r="D877" s="7">
        <f>IFERROR(VLOOKUP(A877,'1227-29耗量'!$A$1:$C$602,3,FALSE),0)</f>
        <v>0</v>
      </c>
      <c r="E877" s="7">
        <f t="shared" si="26"/>
        <v>0</v>
      </c>
      <c r="F877" s="7" t="str">
        <f t="shared" si="27"/>
        <v>無資料</v>
      </c>
      <c r="G877" s="7" t="e">
        <f>VLOOKUP(A877,Sheet5!$A$2:$D$415,4,FALSE)</f>
        <v>#N/A</v>
      </c>
      <c r="H877" s="7" t="e">
        <f>VLOOKUP(A877,Sheet5!$A$2:$D$415,3,FALSE)</f>
        <v>#N/A</v>
      </c>
      <c r="I877" s="7" t="e">
        <f>VLOOKUP(A877,'1201-29周均耗用'!$A$1:$C$602,3,FALSE)</f>
        <v>#N/A</v>
      </c>
    </row>
    <row r="878" spans="1:9">
      <c r="A878" s="13" t="s">
        <v>1761</v>
      </c>
      <c r="B878" s="14" t="s">
        <v>1762</v>
      </c>
      <c r="C878" s="13">
        <v>0</v>
      </c>
      <c r="D878" s="7">
        <f>IFERROR(VLOOKUP(A878,'1227-29耗量'!$A$1:$C$602,3,FALSE),0)</f>
        <v>0</v>
      </c>
      <c r="E878" s="7">
        <f t="shared" si="26"/>
        <v>0</v>
      </c>
      <c r="F878" s="7" t="str">
        <f t="shared" si="27"/>
        <v>無資料</v>
      </c>
      <c r="G878" s="7" t="e">
        <f>VLOOKUP(A878,Sheet5!$A$2:$D$415,4,FALSE)</f>
        <v>#N/A</v>
      </c>
      <c r="H878" s="7" t="e">
        <f>VLOOKUP(A878,Sheet5!$A$2:$D$415,3,FALSE)</f>
        <v>#N/A</v>
      </c>
      <c r="I878" s="7">
        <f>VLOOKUP(A878,'1201-29周均耗用'!$A$1:$C$602,3,FALSE)</f>
        <v>0.2</v>
      </c>
    </row>
    <row r="879" spans="1:9">
      <c r="A879" s="13" t="s">
        <v>1763</v>
      </c>
      <c r="B879" s="14" t="s">
        <v>1764</v>
      </c>
      <c r="C879" s="13">
        <v>0</v>
      </c>
      <c r="D879" s="7">
        <f>IFERROR(VLOOKUP(A879,'1227-29耗量'!$A$1:$C$602,3,FALSE),0)</f>
        <v>0</v>
      </c>
      <c r="E879" s="7">
        <f t="shared" si="26"/>
        <v>0</v>
      </c>
      <c r="F879" s="7" t="str">
        <f t="shared" si="27"/>
        <v>無資料</v>
      </c>
      <c r="G879" s="7" t="e">
        <f>VLOOKUP(A879,Sheet5!$A$2:$D$415,4,FALSE)</f>
        <v>#N/A</v>
      </c>
      <c r="H879" s="7" t="e">
        <f>VLOOKUP(A879,Sheet5!$A$2:$D$415,3,FALSE)</f>
        <v>#N/A</v>
      </c>
      <c r="I879" s="7" t="e">
        <f>VLOOKUP(A879,'1201-29周均耗用'!$A$1:$C$602,3,FALSE)</f>
        <v>#N/A</v>
      </c>
    </row>
    <row r="880" spans="1:9">
      <c r="A880" s="13" t="s">
        <v>1765</v>
      </c>
      <c r="B880" s="14" t="s">
        <v>1766</v>
      </c>
      <c r="C880" s="13">
        <v>5</v>
      </c>
      <c r="D880" s="7">
        <f>IFERROR(VLOOKUP(A880,'1227-29耗量'!$A$1:$C$602,3,FALSE),0)</f>
        <v>0</v>
      </c>
      <c r="E880" s="7">
        <f t="shared" si="26"/>
        <v>5</v>
      </c>
      <c r="F880" s="7" t="str">
        <f t="shared" si="27"/>
        <v>無資料</v>
      </c>
      <c r="G880" s="7" t="e">
        <f>VLOOKUP(A880,Sheet5!$A$2:$D$415,4,FALSE)</f>
        <v>#N/A</v>
      </c>
      <c r="H880" s="7" t="e">
        <f>VLOOKUP(A880,Sheet5!$A$2:$D$415,3,FALSE)</f>
        <v>#N/A</v>
      </c>
      <c r="I880" s="7" t="e">
        <f>VLOOKUP(A880,'1201-29周均耗用'!$A$1:$C$602,3,FALSE)</f>
        <v>#N/A</v>
      </c>
    </row>
    <row r="881" spans="1:9">
      <c r="A881" s="13" t="s">
        <v>1767</v>
      </c>
      <c r="B881" s="14" t="s">
        <v>1768</v>
      </c>
      <c r="C881" s="13">
        <v>118</v>
      </c>
      <c r="D881" s="7">
        <f>IFERROR(VLOOKUP(A881,'1227-29耗量'!$A$1:$C$602,3,FALSE),0)</f>
        <v>1</v>
      </c>
      <c r="E881" s="7">
        <f t="shared" si="26"/>
        <v>117</v>
      </c>
      <c r="F881" s="7" t="str">
        <f t="shared" si="27"/>
        <v>無資料</v>
      </c>
      <c r="G881" s="7" t="e">
        <f>VLOOKUP(A881,Sheet5!$A$2:$D$415,4,FALSE)</f>
        <v>#N/A</v>
      </c>
      <c r="H881" s="7" t="e">
        <f>VLOOKUP(A881,Sheet5!$A$2:$D$415,3,FALSE)</f>
        <v>#N/A</v>
      </c>
      <c r="I881" s="7" t="e">
        <f>VLOOKUP(A881,'1201-29周均耗用'!$A$1:$C$602,3,FALSE)</f>
        <v>#N/A</v>
      </c>
    </row>
    <row r="882" spans="1:9">
      <c r="A882" s="13" t="s">
        <v>1769</v>
      </c>
      <c r="B882" s="14" t="s">
        <v>1770</v>
      </c>
      <c r="C882" s="13">
        <v>0</v>
      </c>
      <c r="D882" s="7">
        <f>IFERROR(VLOOKUP(A882,'1227-29耗量'!$A$1:$C$602,3,FALSE),0)</f>
        <v>0</v>
      </c>
      <c r="E882" s="7">
        <f t="shared" si="26"/>
        <v>0</v>
      </c>
      <c r="F882" s="7" t="str">
        <f t="shared" si="27"/>
        <v>無資料</v>
      </c>
      <c r="G882" s="7" t="e">
        <f>VLOOKUP(A882,Sheet5!$A$2:$D$415,4,FALSE)</f>
        <v>#N/A</v>
      </c>
      <c r="H882" s="7" t="e">
        <f>VLOOKUP(A882,Sheet5!$A$2:$D$415,3,FALSE)</f>
        <v>#N/A</v>
      </c>
      <c r="I882" s="7" t="e">
        <f>VLOOKUP(A882,'1201-29周均耗用'!$A$1:$C$602,3,FALSE)</f>
        <v>#N/A</v>
      </c>
    </row>
    <row r="883" spans="1:9">
      <c r="A883" s="13" t="s">
        <v>1771</v>
      </c>
      <c r="B883" s="14" t="s">
        <v>1772</v>
      </c>
      <c r="C883" s="13">
        <v>610</v>
      </c>
      <c r="D883" s="7">
        <f>IFERROR(VLOOKUP(A883,'1227-29耗量'!$A$1:$C$602,3,FALSE),0)</f>
        <v>51</v>
      </c>
      <c r="E883" s="7">
        <f t="shared" si="26"/>
        <v>559</v>
      </c>
      <c r="F883" s="7" t="str">
        <f t="shared" si="27"/>
        <v>無資料</v>
      </c>
      <c r="G883" s="7" t="e">
        <f>VLOOKUP(A883,Sheet5!$A$2:$D$415,4,FALSE)</f>
        <v>#N/A</v>
      </c>
      <c r="H883" s="7" t="e">
        <f>VLOOKUP(A883,Sheet5!$A$2:$D$415,3,FALSE)</f>
        <v>#N/A</v>
      </c>
      <c r="I883" s="7">
        <f>VLOOKUP(A883,'1201-29周均耗用'!$A$1:$C$602,3,FALSE)</f>
        <v>304.2</v>
      </c>
    </row>
    <row r="884" spans="1:9">
      <c r="A884" s="13" t="s">
        <v>1773</v>
      </c>
      <c r="B884" s="14" t="s">
        <v>1774</v>
      </c>
      <c r="C884" s="13">
        <v>172</v>
      </c>
      <c r="D884" s="7">
        <f>VLOOKUP(A884,'1227-29耗量'!$A$1:$C$602,3,FALSE)</f>
        <v>8</v>
      </c>
      <c r="E884" s="7">
        <f t="shared" si="26"/>
        <v>164</v>
      </c>
      <c r="F884" s="7" t="str">
        <f t="shared" si="27"/>
        <v>錯誤</v>
      </c>
      <c r="G884" s="7">
        <f>VLOOKUP(A884,Sheet5!$A$2:$D$415,4,FALSE)</f>
        <v>105</v>
      </c>
      <c r="H884" s="7">
        <f>VLOOKUP(A884,Sheet5!$A$2:$D$415,3,FALSE)</f>
        <v>120</v>
      </c>
      <c r="I884" s="7" t="e">
        <f>VLOOKUP(A884,'1201-29周均耗用'!$A$1:$C$602,3,FALSE)</f>
        <v>#N/A</v>
      </c>
    </row>
    <row r="885" spans="1:9">
      <c r="A885" s="13" t="s">
        <v>1775</v>
      </c>
      <c r="B885" s="14" t="s">
        <v>1776</v>
      </c>
      <c r="C885" s="13">
        <v>74</v>
      </c>
      <c r="D885" s="7">
        <f>IFERROR(VLOOKUP(A885,'1227-29耗量'!$A$1:$C$602,3,FALSE),0)</f>
        <v>0</v>
      </c>
      <c r="E885" s="7">
        <f t="shared" si="26"/>
        <v>74</v>
      </c>
      <c r="F885" s="7" t="str">
        <f t="shared" si="27"/>
        <v>無資料</v>
      </c>
      <c r="G885" s="7" t="e">
        <f>VLOOKUP(A885,Sheet5!$A$2:$D$415,4,FALSE)</f>
        <v>#N/A</v>
      </c>
      <c r="H885" s="7" t="e">
        <f>VLOOKUP(A885,Sheet5!$A$2:$D$415,3,FALSE)</f>
        <v>#N/A</v>
      </c>
      <c r="I885" s="7" t="e">
        <f>VLOOKUP(A885,'1201-29周均耗用'!$A$1:$C$602,3,FALSE)</f>
        <v>#N/A</v>
      </c>
    </row>
    <row r="886" spans="1:9">
      <c r="A886" s="13" t="s">
        <v>1777</v>
      </c>
      <c r="B886" s="14" t="s">
        <v>1778</v>
      </c>
      <c r="C886" s="13">
        <v>0</v>
      </c>
      <c r="D886" s="7">
        <f>IFERROR(VLOOKUP(A886,'1227-29耗量'!$A$1:$C$602,3,FALSE),0)</f>
        <v>0</v>
      </c>
      <c r="E886" s="7">
        <f t="shared" si="26"/>
        <v>0</v>
      </c>
      <c r="F886" s="7" t="str">
        <f t="shared" si="27"/>
        <v>無資料</v>
      </c>
      <c r="G886" s="7" t="e">
        <f>VLOOKUP(A886,Sheet5!$A$2:$D$415,4,FALSE)</f>
        <v>#N/A</v>
      </c>
      <c r="H886" s="7" t="e">
        <f>VLOOKUP(A886,Sheet5!$A$2:$D$415,3,FALSE)</f>
        <v>#N/A</v>
      </c>
      <c r="I886" s="7" t="e">
        <f>VLOOKUP(A886,'1201-29周均耗用'!$A$1:$C$602,3,FALSE)</f>
        <v>#N/A</v>
      </c>
    </row>
    <row r="887" spans="1:9">
      <c r="A887" s="13" t="s">
        <v>1779</v>
      </c>
      <c r="B887" s="14" t="s">
        <v>1780</v>
      </c>
      <c r="C887" s="13">
        <v>0</v>
      </c>
      <c r="D887" s="7">
        <f>IFERROR(VLOOKUP(A887,'1227-29耗量'!$A$1:$C$602,3,FALSE),0)</f>
        <v>0</v>
      </c>
      <c r="E887" s="7">
        <f t="shared" si="26"/>
        <v>0</v>
      </c>
      <c r="F887" s="7" t="str">
        <f t="shared" si="27"/>
        <v>無資料</v>
      </c>
      <c r="G887" s="7" t="e">
        <f>VLOOKUP(A887,Sheet5!$A$2:$D$415,4,FALSE)</f>
        <v>#N/A</v>
      </c>
      <c r="H887" s="7" t="e">
        <f>VLOOKUP(A887,Sheet5!$A$2:$D$415,3,FALSE)</f>
        <v>#N/A</v>
      </c>
      <c r="I887" s="7" t="e">
        <f>VLOOKUP(A887,'1201-29周均耗用'!$A$1:$C$602,3,FALSE)</f>
        <v>#N/A</v>
      </c>
    </row>
    <row r="888" spans="1:9">
      <c r="A888" s="13" t="s">
        <v>1781</v>
      </c>
      <c r="B888" s="14" t="s">
        <v>1782</v>
      </c>
      <c r="C888" s="13">
        <v>19</v>
      </c>
      <c r="D888" s="7">
        <f>IFERROR(VLOOKUP(A888,'1227-29耗量'!$A$1:$C$602,3,FALSE),0)</f>
        <v>-1</v>
      </c>
      <c r="E888" s="7">
        <f t="shared" si="26"/>
        <v>20</v>
      </c>
      <c r="F888" s="7" t="str">
        <f t="shared" si="27"/>
        <v>無資料</v>
      </c>
      <c r="G888" s="7" t="e">
        <f>VLOOKUP(A888,Sheet5!$A$2:$D$415,4,FALSE)</f>
        <v>#N/A</v>
      </c>
      <c r="H888" s="7" t="e">
        <f>VLOOKUP(A888,Sheet5!$A$2:$D$415,3,FALSE)</f>
        <v>#N/A</v>
      </c>
      <c r="I888" s="7">
        <f>VLOOKUP(A888,'1201-29周均耗用'!$A$1:$C$602,3,FALSE)</f>
        <v>-1.5</v>
      </c>
    </row>
    <row r="889" spans="1:9">
      <c r="A889" s="13" t="s">
        <v>1783</v>
      </c>
      <c r="B889" s="14" t="s">
        <v>1784</v>
      </c>
      <c r="C889" s="13">
        <v>0</v>
      </c>
      <c r="D889" s="7">
        <f>IFERROR(VLOOKUP(A889,'1227-29耗量'!$A$1:$C$602,3,FALSE),0)</f>
        <v>0</v>
      </c>
      <c r="E889" s="7">
        <f t="shared" si="26"/>
        <v>0</v>
      </c>
      <c r="F889" s="7" t="str">
        <f t="shared" si="27"/>
        <v>無資料</v>
      </c>
      <c r="G889" s="7" t="e">
        <f>VLOOKUP(A889,Sheet5!$A$2:$D$415,4,FALSE)</f>
        <v>#N/A</v>
      </c>
      <c r="H889" s="7" t="e">
        <f>VLOOKUP(A889,Sheet5!$A$2:$D$415,3,FALSE)</f>
        <v>#N/A</v>
      </c>
      <c r="I889" s="7" t="e">
        <f>VLOOKUP(A889,'1201-29周均耗用'!$A$1:$C$602,3,FALSE)</f>
        <v>#N/A</v>
      </c>
    </row>
    <row r="890" spans="1:9">
      <c r="A890" s="13" t="s">
        <v>1785</v>
      </c>
      <c r="B890" s="14" t="s">
        <v>1786</v>
      </c>
      <c r="C890" s="13">
        <v>0</v>
      </c>
      <c r="D890" s="7">
        <f>IFERROR(VLOOKUP(A890,'1227-29耗量'!$A$1:$C$602,3,FALSE),0)</f>
        <v>0</v>
      </c>
      <c r="E890" s="7">
        <f t="shared" si="26"/>
        <v>0</v>
      </c>
      <c r="F890" s="7" t="str">
        <f t="shared" si="27"/>
        <v>無資料</v>
      </c>
      <c r="G890" s="7" t="e">
        <f>VLOOKUP(A890,Sheet5!$A$2:$D$415,4,FALSE)</f>
        <v>#N/A</v>
      </c>
      <c r="H890" s="7" t="e">
        <f>VLOOKUP(A890,Sheet5!$A$2:$D$415,3,FALSE)</f>
        <v>#N/A</v>
      </c>
      <c r="I890" s="7" t="e">
        <f>VLOOKUP(A890,'1201-29周均耗用'!$A$1:$C$602,3,FALSE)</f>
        <v>#N/A</v>
      </c>
    </row>
    <row r="891" spans="1:9">
      <c r="A891" s="13" t="s">
        <v>1787</v>
      </c>
      <c r="B891" s="14" t="s">
        <v>1788</v>
      </c>
      <c r="C891" s="13">
        <v>5</v>
      </c>
      <c r="D891" s="7">
        <f>IFERROR(VLOOKUP(A891,'1227-29耗量'!$A$1:$C$602,3,FALSE),0)</f>
        <v>0</v>
      </c>
      <c r="E891" s="7">
        <f t="shared" si="26"/>
        <v>5</v>
      </c>
      <c r="F891" s="7" t="str">
        <f t="shared" si="27"/>
        <v>錯誤</v>
      </c>
      <c r="G891" s="7">
        <f>VLOOKUP(A891,Sheet5!$A$2:$D$415,4,FALSE)</f>
        <v>4</v>
      </c>
      <c r="H891" s="7">
        <f>VLOOKUP(A891,Sheet5!$A$2:$D$415,3,FALSE)</f>
        <v>12</v>
      </c>
      <c r="I891" s="7" t="e">
        <f>VLOOKUP(A891,'1201-29周均耗用'!$A$1:$C$602,3,FALSE)</f>
        <v>#N/A</v>
      </c>
    </row>
    <row r="892" spans="1:9">
      <c r="A892" s="13" t="s">
        <v>1789</v>
      </c>
      <c r="B892" s="14" t="s">
        <v>1790</v>
      </c>
      <c r="C892" s="13">
        <v>0</v>
      </c>
      <c r="D892" s="7">
        <f>IFERROR(VLOOKUP(A892,'1227-29耗量'!$A$1:$C$602,3,FALSE),0)</f>
        <v>0</v>
      </c>
      <c r="E892" s="7">
        <f t="shared" si="26"/>
        <v>0</v>
      </c>
      <c r="F892" s="7" t="str">
        <f t="shared" si="27"/>
        <v>無資料</v>
      </c>
      <c r="G892" s="7" t="e">
        <f>VLOOKUP(A892,Sheet5!$A$2:$D$415,4,FALSE)</f>
        <v>#N/A</v>
      </c>
      <c r="H892" s="7" t="e">
        <f>VLOOKUP(A892,Sheet5!$A$2:$D$415,3,FALSE)</f>
        <v>#N/A</v>
      </c>
      <c r="I892" s="7" t="e">
        <f>VLOOKUP(A892,'1201-29周均耗用'!$A$1:$C$602,3,FALSE)</f>
        <v>#N/A</v>
      </c>
    </row>
    <row r="893" spans="1:9">
      <c r="A893" s="13" t="s">
        <v>1791</v>
      </c>
      <c r="B893" s="14" t="s">
        <v>1792</v>
      </c>
      <c r="C893" s="13">
        <v>0</v>
      </c>
      <c r="D893" s="7">
        <f>IFERROR(VLOOKUP(A893,'1227-29耗量'!$A$1:$C$602,3,FALSE),0)</f>
        <v>0</v>
      </c>
      <c r="E893" s="7">
        <f t="shared" si="26"/>
        <v>0</v>
      </c>
      <c r="F893" s="7" t="str">
        <f t="shared" si="27"/>
        <v>無資料</v>
      </c>
      <c r="G893" s="7" t="e">
        <f>VLOOKUP(A893,Sheet5!$A$2:$D$415,4,FALSE)</f>
        <v>#N/A</v>
      </c>
      <c r="H893" s="7" t="e">
        <f>VLOOKUP(A893,Sheet5!$A$2:$D$415,3,FALSE)</f>
        <v>#N/A</v>
      </c>
      <c r="I893" s="7" t="e">
        <f>VLOOKUP(A893,'1201-29周均耗用'!$A$1:$C$602,3,FALSE)</f>
        <v>#N/A</v>
      </c>
    </row>
    <row r="894" spans="1:9">
      <c r="A894" s="13" t="s">
        <v>1793</v>
      </c>
      <c r="B894" s="14" t="s">
        <v>1794</v>
      </c>
      <c r="C894" s="13">
        <v>0</v>
      </c>
      <c r="D894" s="7">
        <f>IFERROR(VLOOKUP(A894,'1227-29耗量'!$A$1:$C$602,3,FALSE),0)</f>
        <v>0</v>
      </c>
      <c r="E894" s="7">
        <f t="shared" si="26"/>
        <v>0</v>
      </c>
      <c r="F894" s="7" t="str">
        <f t="shared" si="27"/>
        <v>無資料</v>
      </c>
      <c r="G894" s="7" t="e">
        <f>VLOOKUP(A894,Sheet5!$A$2:$D$415,4,FALSE)</f>
        <v>#N/A</v>
      </c>
      <c r="H894" s="7" t="e">
        <f>VLOOKUP(A894,Sheet5!$A$2:$D$415,3,FALSE)</f>
        <v>#N/A</v>
      </c>
      <c r="I894" s="7" t="e">
        <f>VLOOKUP(A894,'1201-29周均耗用'!$A$1:$C$602,3,FALSE)</f>
        <v>#N/A</v>
      </c>
    </row>
    <row r="895" spans="1:9">
      <c r="A895" s="13" t="s">
        <v>1795</v>
      </c>
      <c r="B895" s="14" t="s">
        <v>1796</v>
      </c>
      <c r="C895" s="13">
        <v>0</v>
      </c>
      <c r="D895" s="7">
        <f>IFERROR(VLOOKUP(A895,'1227-29耗量'!$A$1:$C$602,3,FALSE),0)</f>
        <v>0</v>
      </c>
      <c r="E895" s="7">
        <f t="shared" si="26"/>
        <v>0</v>
      </c>
      <c r="F895" s="7" t="str">
        <f t="shared" si="27"/>
        <v>無資料</v>
      </c>
      <c r="G895" s="7" t="e">
        <f>VLOOKUP(A895,Sheet5!$A$2:$D$415,4,FALSE)</f>
        <v>#N/A</v>
      </c>
      <c r="H895" s="7" t="e">
        <f>VLOOKUP(A895,Sheet5!$A$2:$D$415,3,FALSE)</f>
        <v>#N/A</v>
      </c>
      <c r="I895" s="7" t="e">
        <f>VLOOKUP(A895,'1201-29周均耗用'!$A$1:$C$602,3,FALSE)</f>
        <v>#N/A</v>
      </c>
    </row>
    <row r="896" spans="1:9">
      <c r="A896" s="13" t="s">
        <v>1797</v>
      </c>
      <c r="B896" s="14" t="s">
        <v>1798</v>
      </c>
      <c r="C896" s="13">
        <v>44</v>
      </c>
      <c r="D896" s="7">
        <f>IFERROR(VLOOKUP(A896,'1227-29耗量'!$A$1:$C$602,3,FALSE),0)</f>
        <v>0</v>
      </c>
      <c r="E896" s="7">
        <f t="shared" si="26"/>
        <v>44</v>
      </c>
      <c r="F896" s="7" t="str">
        <f t="shared" si="27"/>
        <v>錯誤</v>
      </c>
      <c r="G896" s="7">
        <f>VLOOKUP(A896,Sheet5!$A$2:$D$415,4,FALSE)</f>
        <v>2</v>
      </c>
      <c r="H896" s="7">
        <f>VLOOKUP(A896,Sheet5!$A$2:$D$415,3,FALSE)</f>
        <v>60</v>
      </c>
      <c r="I896" s="7">
        <f>VLOOKUP(A896,'1201-29周均耗用'!$A$1:$C$602,3,FALSE)</f>
        <v>18.8</v>
      </c>
    </row>
    <row r="897" spans="1:9">
      <c r="A897" s="13" t="s">
        <v>1799</v>
      </c>
      <c r="B897" s="14" t="s">
        <v>1800</v>
      </c>
      <c r="C897" s="13">
        <v>27</v>
      </c>
      <c r="D897" s="7">
        <f>VLOOKUP(A897,'1227-29耗量'!$A$1:$C$602,3,FALSE)</f>
        <v>1</v>
      </c>
      <c r="E897" s="7">
        <f t="shared" si="26"/>
        <v>26</v>
      </c>
      <c r="F897" s="7" t="str">
        <f t="shared" si="27"/>
        <v>錯誤</v>
      </c>
      <c r="G897" s="7">
        <f>VLOOKUP(A897,Sheet5!$A$2:$D$415,4,FALSE)</f>
        <v>9</v>
      </c>
      <c r="H897" s="7">
        <f>VLOOKUP(A897,Sheet5!$A$2:$D$415,3,FALSE)</f>
        <v>40</v>
      </c>
      <c r="I897" s="7">
        <f>VLOOKUP(A897,'1201-29周均耗用'!$A$1:$C$602,3,FALSE)</f>
        <v>13.2</v>
      </c>
    </row>
    <row r="898" spans="1:9">
      <c r="A898" s="13" t="s">
        <v>1801</v>
      </c>
      <c r="B898" s="14" t="s">
        <v>1802</v>
      </c>
      <c r="C898" s="13">
        <v>26</v>
      </c>
      <c r="D898" s="7">
        <f>IFERROR(VLOOKUP(A898,'1227-29耗量'!$A$1:$C$602,3,FALSE),0)</f>
        <v>0</v>
      </c>
      <c r="E898" s="7">
        <f t="shared" si="26"/>
        <v>26</v>
      </c>
      <c r="F898" s="7" t="str">
        <f t="shared" si="27"/>
        <v>錯誤</v>
      </c>
      <c r="G898" s="7">
        <f>VLOOKUP(A898,Sheet5!$A$2:$D$415,4,FALSE)</f>
        <v>16</v>
      </c>
      <c r="H898" s="7">
        <f>VLOOKUP(A898,Sheet5!$A$2:$D$415,3,FALSE)</f>
        <v>10</v>
      </c>
      <c r="I898" s="7">
        <f>VLOOKUP(A898,'1201-29周均耗用'!$A$1:$C$602,3,FALSE)</f>
        <v>7</v>
      </c>
    </row>
    <row r="899" spans="1:9">
      <c r="A899" s="13" t="s">
        <v>1803</v>
      </c>
      <c r="B899" s="14" t="s">
        <v>1804</v>
      </c>
      <c r="C899" s="13">
        <v>0</v>
      </c>
      <c r="D899" s="7">
        <f>IFERROR(VLOOKUP(A899,'1227-29耗量'!$A$1:$C$602,3,FALSE),0)</f>
        <v>0</v>
      </c>
      <c r="E899" s="7">
        <f t="shared" ref="E899:E962" si="28">C899-D899</f>
        <v>0</v>
      </c>
      <c r="F899" s="7" t="str">
        <f t="shared" ref="F899:F962" si="29">IFERROR(IF(E899=G899,"OK","錯誤"),"無資料")</f>
        <v>無資料</v>
      </c>
      <c r="G899" s="7" t="e">
        <f>VLOOKUP(A899,Sheet5!$A$2:$D$415,4,FALSE)</f>
        <v>#N/A</v>
      </c>
      <c r="H899" s="7" t="e">
        <f>VLOOKUP(A899,Sheet5!$A$2:$D$415,3,FALSE)</f>
        <v>#N/A</v>
      </c>
      <c r="I899" s="7" t="e">
        <f>VLOOKUP(A899,'1201-29周均耗用'!$A$1:$C$602,3,FALSE)</f>
        <v>#N/A</v>
      </c>
    </row>
    <row r="900" spans="1:9">
      <c r="A900" s="13" t="s">
        <v>1805</v>
      </c>
      <c r="B900" s="14" t="s">
        <v>1806</v>
      </c>
      <c r="C900" s="13">
        <v>3</v>
      </c>
      <c r="D900" s="7">
        <f>IFERROR(VLOOKUP(A900,'1227-29耗量'!$A$1:$C$602,3,FALSE),0)</f>
        <v>0</v>
      </c>
      <c r="E900" s="7">
        <f t="shared" si="28"/>
        <v>3</v>
      </c>
      <c r="F900" s="7" t="str">
        <f t="shared" si="29"/>
        <v>無資料</v>
      </c>
      <c r="G900" s="7" t="e">
        <f>VLOOKUP(A900,Sheet5!$A$2:$D$415,4,FALSE)</f>
        <v>#N/A</v>
      </c>
      <c r="H900" s="7" t="e">
        <f>VLOOKUP(A900,Sheet5!$A$2:$D$415,3,FALSE)</f>
        <v>#N/A</v>
      </c>
      <c r="I900" s="7">
        <f>VLOOKUP(A900,'1201-29周均耗用'!$A$1:$C$602,3,FALSE)</f>
        <v>0.5</v>
      </c>
    </row>
    <row r="901" spans="1:9">
      <c r="A901" s="13" t="s">
        <v>1807</v>
      </c>
      <c r="B901" s="14" t="s">
        <v>1808</v>
      </c>
      <c r="C901" s="13">
        <v>0</v>
      </c>
      <c r="D901" s="7">
        <f>IFERROR(VLOOKUP(A901,'1227-29耗量'!$A$1:$C$602,3,FALSE),0)</f>
        <v>0</v>
      </c>
      <c r="E901" s="7">
        <f t="shared" si="28"/>
        <v>0</v>
      </c>
      <c r="F901" s="7" t="str">
        <f t="shared" si="29"/>
        <v>無資料</v>
      </c>
      <c r="G901" s="7" t="e">
        <f>VLOOKUP(A901,Sheet5!$A$2:$D$415,4,FALSE)</f>
        <v>#N/A</v>
      </c>
      <c r="H901" s="7" t="e">
        <f>VLOOKUP(A901,Sheet5!$A$2:$D$415,3,FALSE)</f>
        <v>#N/A</v>
      </c>
      <c r="I901" s="7" t="e">
        <f>VLOOKUP(A901,'1201-29周均耗用'!$A$1:$C$602,3,FALSE)</f>
        <v>#N/A</v>
      </c>
    </row>
    <row r="902" spans="1:9">
      <c r="A902" s="13" t="s">
        <v>1809</v>
      </c>
      <c r="B902" s="14" t="s">
        <v>1810</v>
      </c>
      <c r="C902" s="13">
        <v>1568</v>
      </c>
      <c r="D902" s="7">
        <f>VLOOKUP(A902,'1227-29耗量'!$A$1:$C$602,3,FALSE)</f>
        <v>50</v>
      </c>
      <c r="E902" s="7">
        <f t="shared" si="28"/>
        <v>1518</v>
      </c>
      <c r="F902" s="7" t="str">
        <f t="shared" si="29"/>
        <v>錯誤</v>
      </c>
      <c r="G902" s="7">
        <f>VLOOKUP(A902,Sheet5!$A$2:$D$415,4,FALSE)</f>
        <v>842</v>
      </c>
      <c r="H902" s="7">
        <f>VLOOKUP(A902,Sheet5!$A$2:$D$415,3,FALSE)</f>
        <v>1500</v>
      </c>
      <c r="I902" s="7">
        <f>VLOOKUP(A902,'1201-29周均耗用'!$A$1:$C$602,3,FALSE)</f>
        <v>491.8</v>
      </c>
    </row>
    <row r="903" spans="1:9">
      <c r="A903" s="13" t="s">
        <v>1811</v>
      </c>
      <c r="B903" s="14" t="s">
        <v>1812</v>
      </c>
      <c r="C903" s="13">
        <v>229</v>
      </c>
      <c r="D903" s="7">
        <f>VLOOKUP(A903,'1227-29耗量'!$A$1:$C$602,3,FALSE)</f>
        <v>1</v>
      </c>
      <c r="E903" s="7">
        <f t="shared" si="28"/>
        <v>228</v>
      </c>
      <c r="F903" s="7" t="str">
        <f t="shared" si="29"/>
        <v>錯誤</v>
      </c>
      <c r="G903" s="7">
        <f>VLOOKUP(A903,Sheet5!$A$2:$D$415,4,FALSE)</f>
        <v>226</v>
      </c>
      <c r="H903" s="7">
        <f>VLOOKUP(A903,Sheet5!$A$2:$D$415,3,FALSE)</f>
        <v>500</v>
      </c>
      <c r="I903" s="7">
        <f>VLOOKUP(A903,'1201-29周均耗用'!$A$1:$C$602,3,FALSE)</f>
        <v>3</v>
      </c>
    </row>
    <row r="904" spans="1:9">
      <c r="A904" s="13" t="s">
        <v>1813</v>
      </c>
      <c r="B904" s="14" t="s">
        <v>1814</v>
      </c>
      <c r="C904" s="13">
        <v>0</v>
      </c>
      <c r="D904" s="7">
        <f>IFERROR(VLOOKUP(A904,'1227-29耗量'!$A$1:$C$602,3,FALSE),0)</f>
        <v>0</v>
      </c>
      <c r="E904" s="7">
        <f t="shared" si="28"/>
        <v>0</v>
      </c>
      <c r="F904" s="7" t="str">
        <f t="shared" si="29"/>
        <v>無資料</v>
      </c>
      <c r="G904" s="7" t="e">
        <f>VLOOKUP(A904,Sheet5!$A$2:$D$415,4,FALSE)</f>
        <v>#N/A</v>
      </c>
      <c r="H904" s="7" t="e">
        <f>VLOOKUP(A904,Sheet5!$A$2:$D$415,3,FALSE)</f>
        <v>#N/A</v>
      </c>
      <c r="I904" s="7" t="e">
        <f>VLOOKUP(A904,'1201-29周均耗用'!$A$1:$C$602,3,FALSE)</f>
        <v>#N/A</v>
      </c>
    </row>
    <row r="905" spans="1:9">
      <c r="A905" s="13" t="s">
        <v>1815</v>
      </c>
      <c r="B905" s="14" t="s">
        <v>1816</v>
      </c>
      <c r="C905" s="13">
        <v>549</v>
      </c>
      <c r="D905" s="7">
        <f>IFERROR(VLOOKUP(A905,'1227-29耗量'!$A$1:$C$602,3,FALSE),0)</f>
        <v>12</v>
      </c>
      <c r="E905" s="7">
        <f t="shared" si="28"/>
        <v>537</v>
      </c>
      <c r="F905" s="7" t="str">
        <f t="shared" si="29"/>
        <v>無資料</v>
      </c>
      <c r="G905" s="7" t="e">
        <f>VLOOKUP(A905,Sheet5!$A$2:$D$415,4,FALSE)</f>
        <v>#N/A</v>
      </c>
      <c r="H905" s="7" t="e">
        <f>VLOOKUP(A905,Sheet5!$A$2:$D$415,3,FALSE)</f>
        <v>#N/A</v>
      </c>
      <c r="I905" s="7" t="e">
        <f>VLOOKUP(A905,'1201-29周均耗用'!$A$1:$C$602,3,FALSE)</f>
        <v>#N/A</v>
      </c>
    </row>
    <row r="906" spans="1:9">
      <c r="A906" s="13" t="s">
        <v>1817</v>
      </c>
      <c r="B906" s="14" t="s">
        <v>1818</v>
      </c>
      <c r="C906" s="13">
        <v>17</v>
      </c>
      <c r="D906" s="7">
        <f>IFERROR(VLOOKUP(A906,'1227-29耗量'!$A$1:$C$602,3,FALSE),0)</f>
        <v>0</v>
      </c>
      <c r="E906" s="7">
        <f t="shared" si="28"/>
        <v>17</v>
      </c>
      <c r="F906" s="7" t="str">
        <f t="shared" si="29"/>
        <v>無資料</v>
      </c>
      <c r="G906" s="7" t="e">
        <f>VLOOKUP(A906,Sheet5!$A$2:$D$415,4,FALSE)</f>
        <v>#N/A</v>
      </c>
      <c r="H906" s="7" t="e">
        <f>VLOOKUP(A906,Sheet5!$A$2:$D$415,3,FALSE)</f>
        <v>#N/A</v>
      </c>
      <c r="I906" s="7" t="e">
        <f>VLOOKUP(A906,'1201-29周均耗用'!$A$1:$C$602,3,FALSE)</f>
        <v>#N/A</v>
      </c>
    </row>
    <row r="907" spans="1:9">
      <c r="A907" s="13" t="s">
        <v>1819</v>
      </c>
      <c r="B907" s="14" t="s">
        <v>1820</v>
      </c>
      <c r="C907" s="13">
        <v>0</v>
      </c>
      <c r="D907" s="7">
        <f>IFERROR(VLOOKUP(A907,'1227-29耗量'!$A$1:$C$602,3,FALSE),0)</f>
        <v>0</v>
      </c>
      <c r="E907" s="7">
        <f t="shared" si="28"/>
        <v>0</v>
      </c>
      <c r="F907" s="7" t="str">
        <f t="shared" si="29"/>
        <v>無資料</v>
      </c>
      <c r="G907" s="7" t="e">
        <f>VLOOKUP(A907,Sheet5!$A$2:$D$415,4,FALSE)</f>
        <v>#N/A</v>
      </c>
      <c r="H907" s="7" t="e">
        <f>VLOOKUP(A907,Sheet5!$A$2:$D$415,3,FALSE)</f>
        <v>#N/A</v>
      </c>
      <c r="I907" s="7" t="e">
        <f>VLOOKUP(A907,'1201-29周均耗用'!$A$1:$C$602,3,FALSE)</f>
        <v>#N/A</v>
      </c>
    </row>
    <row r="908" spans="1:9">
      <c r="A908" s="13" t="s">
        <v>1821</v>
      </c>
      <c r="B908" s="14" t="s">
        <v>1822</v>
      </c>
      <c r="C908" s="13">
        <v>90</v>
      </c>
      <c r="D908" s="7">
        <f>VLOOKUP(A908,'1227-29耗量'!$A$1:$C$602,3,FALSE)</f>
        <v>16</v>
      </c>
      <c r="E908" s="7">
        <f t="shared" si="28"/>
        <v>74</v>
      </c>
      <c r="F908" s="7" t="str">
        <f t="shared" si="29"/>
        <v>錯誤</v>
      </c>
      <c r="G908" s="7">
        <f>VLOOKUP(A908,Sheet5!$A$2:$D$415,4,FALSE)</f>
        <v>79</v>
      </c>
      <c r="H908" s="7">
        <f>VLOOKUP(A908,Sheet5!$A$2:$D$415,3,FALSE)</f>
        <v>100</v>
      </c>
      <c r="I908" s="7">
        <f>VLOOKUP(A908,'1201-29周均耗用'!$A$1:$C$602,3,FALSE)</f>
        <v>26.8</v>
      </c>
    </row>
    <row r="909" spans="1:9">
      <c r="A909" s="13" t="s">
        <v>1823</v>
      </c>
      <c r="B909" s="14" t="s">
        <v>1824</v>
      </c>
      <c r="C909" s="13">
        <v>1378</v>
      </c>
      <c r="D909" s="7">
        <f>VLOOKUP(A909,'1227-29耗量'!$A$1:$C$602,3,FALSE)</f>
        <v>12</v>
      </c>
      <c r="E909" s="7">
        <f t="shared" si="28"/>
        <v>1366</v>
      </c>
      <c r="F909" s="7" t="str">
        <f t="shared" si="29"/>
        <v>錯誤</v>
      </c>
      <c r="G909" s="7">
        <f>VLOOKUP(A909,Sheet5!$A$2:$D$415,4,FALSE)</f>
        <v>890</v>
      </c>
      <c r="H909" s="7">
        <f>VLOOKUP(A909,Sheet5!$A$2:$D$415,3,FALSE)</f>
        <v>500</v>
      </c>
      <c r="I909" s="7" t="e">
        <f>VLOOKUP(A909,'1201-29周均耗用'!$A$1:$C$602,3,FALSE)</f>
        <v>#N/A</v>
      </c>
    </row>
    <row r="910" spans="1:9">
      <c r="A910" s="13" t="s">
        <v>1825</v>
      </c>
      <c r="B910" s="14" t="s">
        <v>1826</v>
      </c>
      <c r="C910" s="13">
        <v>181</v>
      </c>
      <c r="D910" s="7">
        <f>VLOOKUP(A910,'1227-29耗量'!$A$1:$C$602,3,FALSE)</f>
        <v>48</v>
      </c>
      <c r="E910" s="7">
        <f t="shared" si="28"/>
        <v>133</v>
      </c>
      <c r="F910" s="7" t="str">
        <f t="shared" si="29"/>
        <v>錯誤</v>
      </c>
      <c r="G910" s="7">
        <f>VLOOKUP(A910,Sheet5!$A$2:$D$415,4,FALSE)</f>
        <v>143</v>
      </c>
      <c r="H910" s="7">
        <f>VLOOKUP(A910,Sheet5!$A$2:$D$415,3,FALSE)</f>
        <v>400</v>
      </c>
      <c r="I910" s="7" t="e">
        <f>VLOOKUP(A910,'1201-29周均耗用'!$A$1:$C$602,3,FALSE)</f>
        <v>#N/A</v>
      </c>
    </row>
    <row r="911" spans="1:9">
      <c r="A911" s="13" t="s">
        <v>1827</v>
      </c>
      <c r="B911" s="14" t="s">
        <v>1828</v>
      </c>
      <c r="C911" s="13">
        <v>0</v>
      </c>
      <c r="D911" s="7">
        <f>IFERROR(VLOOKUP(A911,'1227-29耗量'!$A$1:$C$602,3,FALSE),0)</f>
        <v>0</v>
      </c>
      <c r="E911" s="7">
        <f t="shared" si="28"/>
        <v>0</v>
      </c>
      <c r="F911" s="7" t="str">
        <f t="shared" si="29"/>
        <v>無資料</v>
      </c>
      <c r="G911" s="7" t="e">
        <f>VLOOKUP(A911,Sheet5!$A$2:$D$415,4,FALSE)</f>
        <v>#N/A</v>
      </c>
      <c r="H911" s="7" t="e">
        <f>VLOOKUP(A911,Sheet5!$A$2:$D$415,3,FALSE)</f>
        <v>#N/A</v>
      </c>
      <c r="I911" s="7" t="e">
        <f>VLOOKUP(A911,'1201-29周均耗用'!$A$1:$C$602,3,FALSE)</f>
        <v>#N/A</v>
      </c>
    </row>
    <row r="912" spans="1:9">
      <c r="A912" s="13" t="s">
        <v>1829</v>
      </c>
      <c r="B912" s="14" t="s">
        <v>1830</v>
      </c>
      <c r="C912" s="13">
        <v>21</v>
      </c>
      <c r="D912" s="7">
        <f>VLOOKUP(A912,'1227-29耗量'!$A$1:$C$602,3,FALSE)</f>
        <v>2</v>
      </c>
      <c r="E912" s="7">
        <f t="shared" si="28"/>
        <v>19</v>
      </c>
      <c r="F912" s="7" t="str">
        <f t="shared" si="29"/>
        <v>錯誤</v>
      </c>
      <c r="G912" s="7">
        <f>VLOOKUP(A912,Sheet5!$A$2:$D$415,4,FALSE)</f>
        <v>14</v>
      </c>
      <c r="H912" s="7">
        <f>VLOOKUP(A912,Sheet5!$A$2:$D$415,3,FALSE)</f>
        <v>8</v>
      </c>
      <c r="I912" s="7" t="e">
        <f>VLOOKUP(A912,'1201-29周均耗用'!$A$1:$C$602,3,FALSE)</f>
        <v>#N/A</v>
      </c>
    </row>
    <row r="913" spans="1:9">
      <c r="A913" s="13" t="s">
        <v>1831</v>
      </c>
      <c r="B913" s="14" t="s">
        <v>1832</v>
      </c>
      <c r="C913" s="13">
        <v>749</v>
      </c>
      <c r="D913" s="7">
        <f>VLOOKUP(A913,'1227-29耗量'!$A$1:$C$602,3,FALSE)</f>
        <v>61</v>
      </c>
      <c r="E913" s="7">
        <f t="shared" si="28"/>
        <v>688</v>
      </c>
      <c r="F913" s="7" t="str">
        <f t="shared" si="29"/>
        <v>錯誤</v>
      </c>
      <c r="G913" s="7">
        <f>VLOOKUP(A913,Sheet5!$A$2:$D$415,4,FALSE)</f>
        <v>510</v>
      </c>
      <c r="H913" s="7">
        <f>VLOOKUP(A913,Sheet5!$A$2:$D$415,3,FALSE)</f>
        <v>2000</v>
      </c>
      <c r="I913" s="7" t="e">
        <f>VLOOKUP(A913,'1201-29周均耗用'!$A$1:$C$602,3,FALSE)</f>
        <v>#N/A</v>
      </c>
    </row>
    <row r="914" spans="1:9">
      <c r="A914" s="13" t="s">
        <v>1833</v>
      </c>
      <c r="B914" s="14" t="s">
        <v>1834</v>
      </c>
      <c r="C914" s="13">
        <v>0</v>
      </c>
      <c r="D914" s="7">
        <f>IFERROR(VLOOKUP(A914,'1227-29耗量'!$A$1:$C$602,3,FALSE),0)</f>
        <v>0</v>
      </c>
      <c r="E914" s="7">
        <f t="shared" si="28"/>
        <v>0</v>
      </c>
      <c r="F914" s="7" t="str">
        <f t="shared" si="29"/>
        <v>無資料</v>
      </c>
      <c r="G914" s="7" t="e">
        <f>VLOOKUP(A914,Sheet5!$A$2:$D$415,4,FALSE)</f>
        <v>#N/A</v>
      </c>
      <c r="H914" s="7" t="e">
        <f>VLOOKUP(A914,Sheet5!$A$2:$D$415,3,FALSE)</f>
        <v>#N/A</v>
      </c>
      <c r="I914" s="7" t="e">
        <f>VLOOKUP(A914,'1201-29周均耗用'!$A$1:$C$602,3,FALSE)</f>
        <v>#N/A</v>
      </c>
    </row>
    <row r="915" spans="1:9">
      <c r="A915" s="13" t="s">
        <v>1835</v>
      </c>
      <c r="B915" s="14" t="s">
        <v>1836</v>
      </c>
      <c r="C915" s="13">
        <v>273</v>
      </c>
      <c r="D915" s="7">
        <f>IFERROR(VLOOKUP(A915,'1227-29耗量'!$A$1:$C$602,3,FALSE),0)</f>
        <v>0</v>
      </c>
      <c r="E915" s="7">
        <f t="shared" si="28"/>
        <v>273</v>
      </c>
      <c r="F915" s="7" t="str">
        <f t="shared" si="29"/>
        <v>無資料</v>
      </c>
      <c r="G915" s="7" t="e">
        <f>VLOOKUP(A915,Sheet5!$A$2:$D$415,4,FALSE)</f>
        <v>#N/A</v>
      </c>
      <c r="H915" s="7" t="e">
        <f>VLOOKUP(A915,Sheet5!$A$2:$D$415,3,FALSE)</f>
        <v>#N/A</v>
      </c>
      <c r="I915" s="7">
        <f>VLOOKUP(A915,'1201-29周均耗用'!$A$1:$C$602,3,FALSE)</f>
        <v>1.5</v>
      </c>
    </row>
    <row r="916" spans="1:9">
      <c r="A916" s="13" t="s">
        <v>1837</v>
      </c>
      <c r="B916" s="14" t="s">
        <v>1838</v>
      </c>
      <c r="C916" s="13">
        <v>174</v>
      </c>
      <c r="D916" s="7">
        <f>IFERROR(VLOOKUP(A916,'1227-29耗量'!$A$1:$C$602,3,FALSE),0)</f>
        <v>1</v>
      </c>
      <c r="E916" s="7">
        <f t="shared" si="28"/>
        <v>173</v>
      </c>
      <c r="F916" s="7" t="str">
        <f t="shared" si="29"/>
        <v>無資料</v>
      </c>
      <c r="G916" s="7" t="e">
        <f>VLOOKUP(A916,Sheet5!$A$2:$D$415,4,FALSE)</f>
        <v>#N/A</v>
      </c>
      <c r="H916" s="7" t="e">
        <f>VLOOKUP(A916,Sheet5!$A$2:$D$415,3,FALSE)</f>
        <v>#N/A</v>
      </c>
      <c r="I916" s="7" t="e">
        <f>VLOOKUP(A916,'1201-29周均耗用'!$A$1:$C$602,3,FALSE)</f>
        <v>#N/A</v>
      </c>
    </row>
    <row r="917" spans="1:9">
      <c r="A917" s="13" t="s">
        <v>1839</v>
      </c>
      <c r="B917" s="14" t="s">
        <v>1840</v>
      </c>
      <c r="C917" s="13">
        <v>0</v>
      </c>
      <c r="D917" s="7">
        <f>IFERROR(VLOOKUP(A917,'1227-29耗量'!$A$1:$C$602,3,FALSE),0)</f>
        <v>0</v>
      </c>
      <c r="E917" s="7">
        <f t="shared" si="28"/>
        <v>0</v>
      </c>
      <c r="F917" s="7" t="str">
        <f t="shared" si="29"/>
        <v>無資料</v>
      </c>
      <c r="G917" s="7" t="e">
        <f>VLOOKUP(A917,Sheet5!$A$2:$D$415,4,FALSE)</f>
        <v>#N/A</v>
      </c>
      <c r="H917" s="7" t="e">
        <f>VLOOKUP(A917,Sheet5!$A$2:$D$415,3,FALSE)</f>
        <v>#N/A</v>
      </c>
      <c r="I917" s="7" t="e">
        <f>VLOOKUP(A917,'1201-29周均耗用'!$A$1:$C$602,3,FALSE)</f>
        <v>#N/A</v>
      </c>
    </row>
    <row r="918" spans="1:9">
      <c r="A918" s="13" t="s">
        <v>1841</v>
      </c>
      <c r="B918" s="14" t="s">
        <v>1842</v>
      </c>
      <c r="C918" s="13">
        <v>100</v>
      </c>
      <c r="D918" s="7">
        <f>VLOOKUP(A918,'1227-29耗量'!$A$1:$C$602,3,FALSE)</f>
        <v>22</v>
      </c>
      <c r="E918" s="7">
        <f t="shared" si="28"/>
        <v>78</v>
      </c>
      <c r="F918" s="7" t="str">
        <f t="shared" si="29"/>
        <v>錯誤</v>
      </c>
      <c r="G918" s="7">
        <f>VLOOKUP(A918,Sheet5!$A$2:$D$415,4,FALSE)</f>
        <v>94</v>
      </c>
      <c r="H918" s="7">
        <f>VLOOKUP(A918,Sheet5!$A$2:$D$415,3,FALSE)</f>
        <v>150</v>
      </c>
      <c r="I918" s="7" t="e">
        <f>VLOOKUP(A918,'1201-29周均耗用'!$A$1:$C$602,3,FALSE)</f>
        <v>#N/A</v>
      </c>
    </row>
    <row r="919" spans="1:9">
      <c r="A919" s="13" t="s">
        <v>1843</v>
      </c>
      <c r="B919" s="14" t="s">
        <v>1844</v>
      </c>
      <c r="C919" s="13">
        <v>0</v>
      </c>
      <c r="D919" s="7">
        <f>IFERROR(VLOOKUP(A919,'1227-29耗量'!$A$1:$C$602,3,FALSE),0)</f>
        <v>0</v>
      </c>
      <c r="E919" s="7">
        <f t="shared" si="28"/>
        <v>0</v>
      </c>
      <c r="F919" s="7" t="str">
        <f t="shared" si="29"/>
        <v>無資料</v>
      </c>
      <c r="G919" s="7" t="e">
        <f>VLOOKUP(A919,Sheet5!$A$2:$D$415,4,FALSE)</f>
        <v>#N/A</v>
      </c>
      <c r="H919" s="7" t="e">
        <f>VLOOKUP(A919,Sheet5!$A$2:$D$415,3,FALSE)</f>
        <v>#N/A</v>
      </c>
      <c r="I919" s="7" t="e">
        <f>VLOOKUP(A919,'1201-29周均耗用'!$A$1:$C$602,3,FALSE)</f>
        <v>#N/A</v>
      </c>
    </row>
    <row r="920" spans="1:9">
      <c r="A920" s="13" t="s">
        <v>1845</v>
      </c>
      <c r="B920" s="14" t="s">
        <v>1846</v>
      </c>
      <c r="C920" s="13">
        <v>780</v>
      </c>
      <c r="D920" s="7">
        <f>IFERROR(VLOOKUP(A920,'1227-29耗量'!$A$1:$C$602,3,FALSE),0)</f>
        <v>32</v>
      </c>
      <c r="E920" s="7">
        <f t="shared" si="28"/>
        <v>748</v>
      </c>
      <c r="F920" s="7" t="str">
        <f t="shared" si="29"/>
        <v>無資料</v>
      </c>
      <c r="G920" s="7" t="e">
        <f>VLOOKUP(A920,Sheet5!$A$2:$D$415,4,FALSE)</f>
        <v>#N/A</v>
      </c>
      <c r="H920" s="7" t="e">
        <f>VLOOKUP(A920,Sheet5!$A$2:$D$415,3,FALSE)</f>
        <v>#N/A</v>
      </c>
      <c r="I920" s="7" t="e">
        <f>VLOOKUP(A920,'1201-29周均耗用'!$A$1:$C$602,3,FALSE)</f>
        <v>#N/A</v>
      </c>
    </row>
    <row r="921" spans="1:9">
      <c r="A921" s="13" t="s">
        <v>1847</v>
      </c>
      <c r="B921" s="14" t="s">
        <v>1848</v>
      </c>
      <c r="C921" s="13">
        <v>0</v>
      </c>
      <c r="D921" s="7">
        <f>IFERROR(VLOOKUP(A921,'1227-29耗量'!$A$1:$C$602,3,FALSE),0)</f>
        <v>0</v>
      </c>
      <c r="E921" s="7">
        <f t="shared" si="28"/>
        <v>0</v>
      </c>
      <c r="F921" s="7" t="str">
        <f t="shared" si="29"/>
        <v>無資料</v>
      </c>
      <c r="G921" s="7" t="e">
        <f>VLOOKUP(A921,Sheet5!$A$2:$D$415,4,FALSE)</f>
        <v>#N/A</v>
      </c>
      <c r="H921" s="7" t="e">
        <f>VLOOKUP(A921,Sheet5!$A$2:$D$415,3,FALSE)</f>
        <v>#N/A</v>
      </c>
      <c r="I921" s="7" t="e">
        <f>VLOOKUP(A921,'1201-29周均耗用'!$A$1:$C$602,3,FALSE)</f>
        <v>#N/A</v>
      </c>
    </row>
    <row r="922" spans="1:9">
      <c r="A922" s="13" t="s">
        <v>1849</v>
      </c>
      <c r="B922" s="14" t="s">
        <v>1850</v>
      </c>
      <c r="C922" s="13">
        <v>1389</v>
      </c>
      <c r="D922" s="7">
        <f>VLOOKUP(A922,'1227-29耗量'!$A$1:$C$602,3,FALSE)</f>
        <v>205</v>
      </c>
      <c r="E922" s="7">
        <f t="shared" si="28"/>
        <v>1184</v>
      </c>
      <c r="F922" s="7" t="str">
        <f t="shared" si="29"/>
        <v>錯誤</v>
      </c>
      <c r="G922" s="7">
        <f>VLOOKUP(A922,Sheet5!$A$2:$D$415,4,FALSE)</f>
        <v>477</v>
      </c>
      <c r="H922" s="7">
        <f>VLOOKUP(A922,Sheet5!$A$2:$D$415,3,FALSE)</f>
        <v>2000</v>
      </c>
      <c r="I922" s="7" t="e">
        <f>VLOOKUP(A922,'1201-29周均耗用'!$A$1:$C$602,3,FALSE)</f>
        <v>#N/A</v>
      </c>
    </row>
    <row r="923" spans="1:9">
      <c r="A923" s="13" t="s">
        <v>1851</v>
      </c>
      <c r="B923" s="14" t="s">
        <v>1852</v>
      </c>
      <c r="C923" s="13">
        <v>132</v>
      </c>
      <c r="D923" s="7">
        <f>IFERROR(VLOOKUP(A923,'1227-29耗量'!$A$1:$C$602,3,FALSE),0)</f>
        <v>7</v>
      </c>
      <c r="E923" s="7">
        <f t="shared" si="28"/>
        <v>125</v>
      </c>
      <c r="F923" s="7" t="str">
        <f t="shared" si="29"/>
        <v>無資料</v>
      </c>
      <c r="G923" s="7" t="e">
        <f>VLOOKUP(A923,Sheet5!$A$2:$D$415,4,FALSE)</f>
        <v>#N/A</v>
      </c>
      <c r="H923" s="7" t="e">
        <f>VLOOKUP(A923,Sheet5!$A$2:$D$415,3,FALSE)</f>
        <v>#N/A</v>
      </c>
      <c r="I923" s="7" t="e">
        <f>VLOOKUP(A923,'1201-29周均耗用'!$A$1:$C$602,3,FALSE)</f>
        <v>#N/A</v>
      </c>
    </row>
    <row r="924" spans="1:9">
      <c r="A924" s="13" t="s">
        <v>1853</v>
      </c>
      <c r="B924" s="14" t="s">
        <v>1854</v>
      </c>
      <c r="C924" s="13">
        <v>550</v>
      </c>
      <c r="D924" s="7">
        <f>VLOOKUP(A924,'1227-29耗量'!$A$1:$C$602,3,FALSE)</f>
        <v>8</v>
      </c>
      <c r="E924" s="7">
        <f t="shared" si="28"/>
        <v>542</v>
      </c>
      <c r="F924" s="7" t="str">
        <f t="shared" si="29"/>
        <v>錯誤</v>
      </c>
      <c r="G924" s="7">
        <f>VLOOKUP(A924,Sheet5!$A$2:$D$415,4,FALSE)</f>
        <v>311</v>
      </c>
      <c r="H924" s="7">
        <f>VLOOKUP(A924,Sheet5!$A$2:$D$415,3,FALSE)</f>
        <v>300</v>
      </c>
      <c r="I924" s="7">
        <f>VLOOKUP(A924,'1201-29周均耗用'!$A$1:$C$602,3,FALSE)</f>
        <v>111</v>
      </c>
    </row>
    <row r="925" spans="1:9">
      <c r="A925" s="13" t="s">
        <v>1855</v>
      </c>
      <c r="B925" s="14" t="s">
        <v>1856</v>
      </c>
      <c r="C925" s="13">
        <v>3</v>
      </c>
      <c r="D925" s="7">
        <f>IFERROR(VLOOKUP(A925,'1227-29耗量'!$A$1:$C$602,3,FALSE),0)</f>
        <v>3</v>
      </c>
      <c r="E925" s="7">
        <f t="shared" si="28"/>
        <v>0</v>
      </c>
      <c r="F925" s="7" t="str">
        <f t="shared" si="29"/>
        <v>無資料</v>
      </c>
      <c r="G925" s="7" t="e">
        <f>VLOOKUP(A925,Sheet5!$A$2:$D$415,4,FALSE)</f>
        <v>#N/A</v>
      </c>
      <c r="H925" s="7" t="e">
        <f>VLOOKUP(A925,Sheet5!$A$2:$D$415,3,FALSE)</f>
        <v>#N/A</v>
      </c>
      <c r="I925" s="7" t="e">
        <f>VLOOKUP(A925,'1201-29周均耗用'!$A$1:$C$602,3,FALSE)</f>
        <v>#N/A</v>
      </c>
    </row>
    <row r="926" spans="1:9">
      <c r="A926" s="13" t="s">
        <v>1857</v>
      </c>
      <c r="B926" s="14" t="s">
        <v>1858</v>
      </c>
      <c r="C926" s="13">
        <v>85</v>
      </c>
      <c r="D926" s="7">
        <f>VLOOKUP(A926,'1227-29耗量'!$A$1:$C$602,3,FALSE)</f>
        <v>7</v>
      </c>
      <c r="E926" s="7">
        <f t="shared" si="28"/>
        <v>78</v>
      </c>
      <c r="F926" s="7" t="str">
        <f t="shared" si="29"/>
        <v>錯誤</v>
      </c>
      <c r="G926" s="7">
        <f>VLOOKUP(A926,Sheet5!$A$2:$D$415,4,FALSE)</f>
        <v>57</v>
      </c>
      <c r="H926" s="7">
        <f>VLOOKUP(A926,Sheet5!$A$2:$D$415,3,FALSE)</f>
        <v>84</v>
      </c>
      <c r="I926" s="7" t="e">
        <f>VLOOKUP(A926,'1201-29周均耗用'!$A$1:$C$602,3,FALSE)</f>
        <v>#N/A</v>
      </c>
    </row>
    <row r="927" spans="1:9">
      <c r="A927" s="13" t="s">
        <v>1859</v>
      </c>
      <c r="B927" s="14" t="s">
        <v>1860</v>
      </c>
      <c r="C927" s="13">
        <v>28</v>
      </c>
      <c r="D927" s="7">
        <f>IFERROR(VLOOKUP(A927,'1227-29耗量'!$A$1:$C$602,3,FALSE),0)</f>
        <v>2</v>
      </c>
      <c r="E927" s="7">
        <f t="shared" si="28"/>
        <v>26</v>
      </c>
      <c r="F927" s="7" t="str">
        <f t="shared" si="29"/>
        <v>無資料</v>
      </c>
      <c r="G927" s="7" t="e">
        <f>VLOOKUP(A927,Sheet5!$A$2:$D$415,4,FALSE)</f>
        <v>#N/A</v>
      </c>
      <c r="H927" s="7" t="e">
        <f>VLOOKUP(A927,Sheet5!$A$2:$D$415,3,FALSE)</f>
        <v>#N/A</v>
      </c>
      <c r="I927" s="7" t="e">
        <f>VLOOKUP(A927,'1201-29周均耗用'!$A$1:$C$602,3,FALSE)</f>
        <v>#N/A</v>
      </c>
    </row>
    <row r="928" spans="1:9">
      <c r="A928" s="13" t="s">
        <v>1861</v>
      </c>
      <c r="B928" s="14" t="s">
        <v>1862</v>
      </c>
      <c r="C928" s="13">
        <v>70</v>
      </c>
      <c r="D928" s="7">
        <f>IFERROR(VLOOKUP(A928,'1227-29耗量'!$A$1:$C$602,3,FALSE),0)</f>
        <v>5</v>
      </c>
      <c r="E928" s="7">
        <f t="shared" si="28"/>
        <v>65</v>
      </c>
      <c r="F928" s="7" t="str">
        <f t="shared" si="29"/>
        <v>無資料</v>
      </c>
      <c r="G928" s="7" t="e">
        <f>VLOOKUP(A928,Sheet5!$A$2:$D$415,4,FALSE)</f>
        <v>#N/A</v>
      </c>
      <c r="H928" s="7" t="e">
        <f>VLOOKUP(A928,Sheet5!$A$2:$D$415,3,FALSE)</f>
        <v>#N/A</v>
      </c>
      <c r="I928" s="7" t="e">
        <f>VLOOKUP(A928,'1201-29周均耗用'!$A$1:$C$602,3,FALSE)</f>
        <v>#N/A</v>
      </c>
    </row>
    <row r="929" spans="1:9">
      <c r="A929" s="13" t="s">
        <v>1863</v>
      </c>
      <c r="B929" s="14" t="s">
        <v>1864</v>
      </c>
      <c r="C929" s="13">
        <v>9</v>
      </c>
      <c r="D929" s="7">
        <f>IFERROR(VLOOKUP(A929,'1227-29耗量'!$A$1:$C$602,3,FALSE),0)</f>
        <v>1</v>
      </c>
      <c r="E929" s="7">
        <f t="shared" si="28"/>
        <v>8</v>
      </c>
      <c r="F929" s="7" t="str">
        <f t="shared" si="29"/>
        <v>無資料</v>
      </c>
      <c r="G929" s="7" t="e">
        <f>VLOOKUP(A929,Sheet5!$A$2:$D$415,4,FALSE)</f>
        <v>#N/A</v>
      </c>
      <c r="H929" s="7" t="e">
        <f>VLOOKUP(A929,Sheet5!$A$2:$D$415,3,FALSE)</f>
        <v>#N/A</v>
      </c>
      <c r="I929" s="7" t="e">
        <f>VLOOKUP(A929,'1201-29周均耗用'!$A$1:$C$602,3,FALSE)</f>
        <v>#N/A</v>
      </c>
    </row>
    <row r="930" spans="1:9">
      <c r="A930" s="13" t="s">
        <v>1865</v>
      </c>
      <c r="B930" s="14" t="s">
        <v>1866</v>
      </c>
      <c r="C930" s="13">
        <v>1020</v>
      </c>
      <c r="D930" s="7">
        <f>IFERROR(VLOOKUP(A930,'1227-29耗量'!$A$1:$C$602,3,FALSE),0)</f>
        <v>0</v>
      </c>
      <c r="E930" s="7">
        <f t="shared" si="28"/>
        <v>1020</v>
      </c>
      <c r="F930" s="7" t="str">
        <f t="shared" si="29"/>
        <v>無資料</v>
      </c>
      <c r="G930" s="7" t="e">
        <f>VLOOKUP(A930,Sheet5!$A$2:$D$415,4,FALSE)</f>
        <v>#N/A</v>
      </c>
      <c r="H930" s="7" t="e">
        <f>VLOOKUP(A930,Sheet5!$A$2:$D$415,3,FALSE)</f>
        <v>#N/A</v>
      </c>
      <c r="I930" s="7" t="e">
        <f>VLOOKUP(A930,'1201-29周均耗用'!$A$1:$C$602,3,FALSE)</f>
        <v>#N/A</v>
      </c>
    </row>
    <row r="931" spans="1:9">
      <c r="A931" s="13" t="s">
        <v>1867</v>
      </c>
      <c r="B931" s="14" t="s">
        <v>1868</v>
      </c>
      <c r="C931" s="13">
        <v>0</v>
      </c>
      <c r="D931" s="7">
        <f>IFERROR(VLOOKUP(A931,'1227-29耗量'!$A$1:$C$602,3,FALSE),0)</f>
        <v>0</v>
      </c>
      <c r="E931" s="7">
        <f t="shared" si="28"/>
        <v>0</v>
      </c>
      <c r="F931" s="7" t="str">
        <f t="shared" si="29"/>
        <v>無資料</v>
      </c>
      <c r="G931" s="7" t="e">
        <f>VLOOKUP(A931,Sheet5!$A$2:$D$415,4,FALSE)</f>
        <v>#N/A</v>
      </c>
      <c r="H931" s="7" t="e">
        <f>VLOOKUP(A931,Sheet5!$A$2:$D$415,3,FALSE)</f>
        <v>#N/A</v>
      </c>
      <c r="I931" s="7" t="e">
        <f>VLOOKUP(A931,'1201-29周均耗用'!$A$1:$C$602,3,FALSE)</f>
        <v>#N/A</v>
      </c>
    </row>
    <row r="932" spans="1:9">
      <c r="A932" s="13" t="s">
        <v>1869</v>
      </c>
      <c r="B932" s="14" t="s">
        <v>1870</v>
      </c>
      <c r="C932" s="13">
        <v>12</v>
      </c>
      <c r="D932" s="7">
        <f>VLOOKUP(A932,'1227-29耗量'!$A$1:$C$602,3,FALSE)</f>
        <v>4</v>
      </c>
      <c r="E932" s="7">
        <f t="shared" si="28"/>
        <v>8</v>
      </c>
      <c r="F932" s="7" t="str">
        <f t="shared" si="29"/>
        <v>錯誤</v>
      </c>
      <c r="G932" s="7">
        <f>VLOOKUP(A932,Sheet5!$A$2:$D$415,4,FALSE)</f>
        <v>-2</v>
      </c>
      <c r="H932" s="7">
        <f>VLOOKUP(A932,Sheet5!$A$2:$D$415,3,FALSE)</f>
        <v>20</v>
      </c>
      <c r="I932" s="7">
        <f>VLOOKUP(A932,'1201-29周均耗用'!$A$1:$C$602,3,FALSE)</f>
        <v>2.2</v>
      </c>
    </row>
    <row r="933" spans="1:9">
      <c r="A933" s="13" t="s">
        <v>1871</v>
      </c>
      <c r="B933" s="14" t="s">
        <v>1872</v>
      </c>
      <c r="C933" s="13">
        <v>1875</v>
      </c>
      <c r="D933" s="7">
        <f>VLOOKUP(A933,'1227-29耗量'!$A$1:$C$602,3,FALSE)</f>
        <v>180</v>
      </c>
      <c r="E933" s="7">
        <f t="shared" si="28"/>
        <v>1695</v>
      </c>
      <c r="F933" s="7" t="str">
        <f t="shared" si="29"/>
        <v>錯誤</v>
      </c>
      <c r="G933" s="7">
        <f>VLOOKUP(A933,Sheet5!$A$2:$D$415,4,FALSE)</f>
        <v>1124</v>
      </c>
      <c r="H933" s="7">
        <f>VLOOKUP(A933,Sheet5!$A$2:$D$415,3,FALSE)</f>
        <v>3000</v>
      </c>
      <c r="I933" s="7" t="e">
        <f>VLOOKUP(A933,'1201-29周均耗用'!$A$1:$C$602,3,FALSE)</f>
        <v>#N/A</v>
      </c>
    </row>
    <row r="934" spans="1:9">
      <c r="A934" s="13" t="s">
        <v>1873</v>
      </c>
      <c r="B934" s="14" t="s">
        <v>1874</v>
      </c>
      <c r="C934" s="13">
        <v>0</v>
      </c>
      <c r="D934" s="7">
        <f>IFERROR(VLOOKUP(A934,'1227-29耗量'!$A$1:$C$602,3,FALSE),0)</f>
        <v>0</v>
      </c>
      <c r="E934" s="7">
        <f t="shared" si="28"/>
        <v>0</v>
      </c>
      <c r="F934" s="7" t="str">
        <f t="shared" si="29"/>
        <v>無資料</v>
      </c>
      <c r="G934" s="7" t="e">
        <f>VLOOKUP(A934,Sheet5!$A$2:$D$415,4,FALSE)</f>
        <v>#N/A</v>
      </c>
      <c r="H934" s="7" t="e">
        <f>VLOOKUP(A934,Sheet5!$A$2:$D$415,3,FALSE)</f>
        <v>#N/A</v>
      </c>
      <c r="I934" s="7" t="e">
        <f>VLOOKUP(A934,'1201-29周均耗用'!$A$1:$C$602,3,FALSE)</f>
        <v>#N/A</v>
      </c>
    </row>
    <row r="935" spans="1:9">
      <c r="A935" s="13" t="s">
        <v>1875</v>
      </c>
      <c r="B935" s="14" t="s">
        <v>1876</v>
      </c>
      <c r="C935" s="13">
        <v>0</v>
      </c>
      <c r="D935" s="7">
        <f>IFERROR(VLOOKUP(A935,'1227-29耗量'!$A$1:$C$602,3,FALSE),0)</f>
        <v>0</v>
      </c>
      <c r="E935" s="7">
        <f t="shared" si="28"/>
        <v>0</v>
      </c>
      <c r="F935" s="7" t="str">
        <f t="shared" si="29"/>
        <v>無資料</v>
      </c>
      <c r="G935" s="7" t="e">
        <f>VLOOKUP(A935,Sheet5!$A$2:$D$415,4,FALSE)</f>
        <v>#N/A</v>
      </c>
      <c r="H935" s="7" t="e">
        <f>VLOOKUP(A935,Sheet5!$A$2:$D$415,3,FALSE)</f>
        <v>#N/A</v>
      </c>
      <c r="I935" s="7" t="e">
        <f>VLOOKUP(A935,'1201-29周均耗用'!$A$1:$C$602,3,FALSE)</f>
        <v>#N/A</v>
      </c>
    </row>
    <row r="936" spans="1:9">
      <c r="A936" s="13" t="s">
        <v>1877</v>
      </c>
      <c r="B936" s="14" t="s">
        <v>1878</v>
      </c>
      <c r="C936" s="13">
        <v>0</v>
      </c>
      <c r="D936" s="7">
        <f>IFERROR(VLOOKUP(A936,'1227-29耗量'!$A$1:$C$602,3,FALSE),0)</f>
        <v>0</v>
      </c>
      <c r="E936" s="7">
        <f t="shared" si="28"/>
        <v>0</v>
      </c>
      <c r="F936" s="7" t="str">
        <f t="shared" si="29"/>
        <v>無資料</v>
      </c>
      <c r="G936" s="7" t="e">
        <f>VLOOKUP(A936,Sheet5!$A$2:$D$415,4,FALSE)</f>
        <v>#N/A</v>
      </c>
      <c r="H936" s="7" t="e">
        <f>VLOOKUP(A936,Sheet5!$A$2:$D$415,3,FALSE)</f>
        <v>#N/A</v>
      </c>
      <c r="I936" s="7" t="e">
        <f>VLOOKUP(A936,'1201-29周均耗用'!$A$1:$C$602,3,FALSE)</f>
        <v>#N/A</v>
      </c>
    </row>
    <row r="937" spans="1:9">
      <c r="A937" s="13" t="s">
        <v>1879</v>
      </c>
      <c r="B937" s="14" t="s">
        <v>1880</v>
      </c>
      <c r="C937" s="13">
        <v>0</v>
      </c>
      <c r="D937" s="7">
        <f>IFERROR(VLOOKUP(A937,'1227-29耗量'!$A$1:$C$602,3,FALSE),0)</f>
        <v>0</v>
      </c>
      <c r="E937" s="7">
        <f t="shared" si="28"/>
        <v>0</v>
      </c>
      <c r="F937" s="7" t="str">
        <f t="shared" si="29"/>
        <v>無資料</v>
      </c>
      <c r="G937" s="7" t="e">
        <f>VLOOKUP(A937,Sheet5!$A$2:$D$415,4,FALSE)</f>
        <v>#N/A</v>
      </c>
      <c r="H937" s="7" t="e">
        <f>VLOOKUP(A937,Sheet5!$A$2:$D$415,3,FALSE)</f>
        <v>#N/A</v>
      </c>
      <c r="I937" s="7" t="e">
        <f>VLOOKUP(A937,'1201-29周均耗用'!$A$1:$C$602,3,FALSE)</f>
        <v>#N/A</v>
      </c>
    </row>
    <row r="938" spans="1:9">
      <c r="A938" s="13" t="s">
        <v>1881</v>
      </c>
      <c r="B938" s="14" t="s">
        <v>1882</v>
      </c>
      <c r="C938" s="13">
        <v>257</v>
      </c>
      <c r="D938" s="7">
        <f>IFERROR(VLOOKUP(A938,'1227-29耗量'!$A$1:$C$602,3,FALSE),0)</f>
        <v>0</v>
      </c>
      <c r="E938" s="7">
        <f t="shared" si="28"/>
        <v>257</v>
      </c>
      <c r="F938" s="7" t="str">
        <f t="shared" si="29"/>
        <v>無資料</v>
      </c>
      <c r="G938" s="7" t="e">
        <f>VLOOKUP(A938,Sheet5!$A$2:$D$415,4,FALSE)</f>
        <v>#N/A</v>
      </c>
      <c r="H938" s="7" t="e">
        <f>VLOOKUP(A938,Sheet5!$A$2:$D$415,3,FALSE)</f>
        <v>#N/A</v>
      </c>
      <c r="I938" s="7" t="e">
        <f>VLOOKUP(A938,'1201-29周均耗用'!$A$1:$C$602,3,FALSE)</f>
        <v>#N/A</v>
      </c>
    </row>
    <row r="939" spans="1:9">
      <c r="A939" s="13" t="s">
        <v>1883</v>
      </c>
      <c r="B939" s="14" t="s">
        <v>1884</v>
      </c>
      <c r="C939" s="13">
        <v>1</v>
      </c>
      <c r="D939" s="7">
        <f>IFERROR(VLOOKUP(A939,'1227-29耗量'!$A$1:$C$602,3,FALSE),0)</f>
        <v>1</v>
      </c>
      <c r="E939" s="7">
        <f t="shared" si="28"/>
        <v>0</v>
      </c>
      <c r="F939" s="7" t="str">
        <f t="shared" si="29"/>
        <v>無資料</v>
      </c>
      <c r="G939" s="7" t="e">
        <f>VLOOKUP(A939,Sheet5!$A$2:$D$415,4,FALSE)</f>
        <v>#N/A</v>
      </c>
      <c r="H939" s="7" t="e">
        <f>VLOOKUP(A939,Sheet5!$A$2:$D$415,3,FALSE)</f>
        <v>#N/A</v>
      </c>
      <c r="I939" s="7" t="e">
        <f>VLOOKUP(A939,'1201-29周均耗用'!$A$1:$C$602,3,FALSE)</f>
        <v>#N/A</v>
      </c>
    </row>
    <row r="940" spans="1:9">
      <c r="A940" s="13" t="s">
        <v>1885</v>
      </c>
      <c r="B940" s="14" t="s">
        <v>1886</v>
      </c>
      <c r="C940" s="13">
        <v>1247</v>
      </c>
      <c r="D940" s="7">
        <f>VLOOKUP(A940,'1227-29耗量'!$A$1:$C$602,3,FALSE)</f>
        <v>52</v>
      </c>
      <c r="E940" s="7">
        <f t="shared" si="28"/>
        <v>1195</v>
      </c>
      <c r="F940" s="7" t="str">
        <f t="shared" si="29"/>
        <v>錯誤</v>
      </c>
      <c r="G940" s="7">
        <f>VLOOKUP(A940,Sheet5!$A$2:$D$415,4,FALSE)</f>
        <v>453</v>
      </c>
      <c r="H940" s="7">
        <f>VLOOKUP(A940,Sheet5!$A$2:$D$415,3,FALSE)</f>
        <v>900</v>
      </c>
      <c r="I940" s="7" t="e">
        <f>VLOOKUP(A940,'1201-29周均耗用'!$A$1:$C$602,3,FALSE)</f>
        <v>#N/A</v>
      </c>
    </row>
    <row r="941" spans="1:9">
      <c r="A941" s="13" t="s">
        <v>1887</v>
      </c>
      <c r="B941" s="14" t="s">
        <v>1888</v>
      </c>
      <c r="C941" s="13">
        <v>0</v>
      </c>
      <c r="D941" s="7">
        <f>IFERROR(VLOOKUP(A941,'1227-29耗量'!$A$1:$C$602,3,FALSE),0)</f>
        <v>0</v>
      </c>
      <c r="E941" s="7">
        <f t="shared" si="28"/>
        <v>0</v>
      </c>
      <c r="F941" s="7" t="str">
        <f t="shared" si="29"/>
        <v>無資料</v>
      </c>
      <c r="G941" s="7" t="e">
        <f>VLOOKUP(A941,Sheet5!$A$2:$D$415,4,FALSE)</f>
        <v>#N/A</v>
      </c>
      <c r="H941" s="7" t="e">
        <f>VLOOKUP(A941,Sheet5!$A$2:$D$415,3,FALSE)</f>
        <v>#N/A</v>
      </c>
      <c r="I941" s="7" t="e">
        <f>VLOOKUP(A941,'1201-29周均耗用'!$A$1:$C$602,3,FALSE)</f>
        <v>#N/A</v>
      </c>
    </row>
    <row r="942" spans="1:9">
      <c r="A942" s="13" t="s">
        <v>1889</v>
      </c>
      <c r="B942" s="14" t="s">
        <v>1890</v>
      </c>
      <c r="C942" s="13">
        <v>3</v>
      </c>
      <c r="D942" s="7">
        <f>IFERROR(VLOOKUP(A942,'1227-29耗量'!$A$1:$C$602,3,FALSE),0)</f>
        <v>0</v>
      </c>
      <c r="E942" s="7">
        <f t="shared" si="28"/>
        <v>3</v>
      </c>
      <c r="F942" s="7" t="str">
        <f t="shared" si="29"/>
        <v>無資料</v>
      </c>
      <c r="G942" s="7" t="e">
        <f>VLOOKUP(A942,Sheet5!$A$2:$D$415,4,FALSE)</f>
        <v>#N/A</v>
      </c>
      <c r="H942" s="7" t="e">
        <f>VLOOKUP(A942,Sheet5!$A$2:$D$415,3,FALSE)</f>
        <v>#N/A</v>
      </c>
      <c r="I942" s="7" t="e">
        <f>VLOOKUP(A942,'1201-29周均耗用'!$A$1:$C$602,3,FALSE)</f>
        <v>#N/A</v>
      </c>
    </row>
    <row r="943" spans="1:9">
      <c r="A943" s="13" t="s">
        <v>1891</v>
      </c>
      <c r="B943" s="14" t="s">
        <v>1892</v>
      </c>
      <c r="C943" s="13">
        <v>0</v>
      </c>
      <c r="D943" s="7">
        <f>IFERROR(VLOOKUP(A943,'1227-29耗量'!$A$1:$C$602,3,FALSE),0)</f>
        <v>0</v>
      </c>
      <c r="E943" s="7">
        <f t="shared" si="28"/>
        <v>0</v>
      </c>
      <c r="F943" s="7" t="str">
        <f t="shared" si="29"/>
        <v>無資料</v>
      </c>
      <c r="G943" s="7" t="e">
        <f>VLOOKUP(A943,Sheet5!$A$2:$D$415,4,FALSE)</f>
        <v>#N/A</v>
      </c>
      <c r="H943" s="7" t="e">
        <f>VLOOKUP(A943,Sheet5!$A$2:$D$415,3,FALSE)</f>
        <v>#N/A</v>
      </c>
      <c r="I943" s="7" t="e">
        <f>VLOOKUP(A943,'1201-29周均耗用'!$A$1:$C$602,3,FALSE)</f>
        <v>#N/A</v>
      </c>
    </row>
    <row r="944" spans="1:9">
      <c r="A944" s="13" t="s">
        <v>1893</v>
      </c>
      <c r="B944" s="14" t="s">
        <v>1894</v>
      </c>
      <c r="C944" s="13">
        <v>7</v>
      </c>
      <c r="D944" s="7">
        <f>IFERROR(VLOOKUP(A944,'1227-29耗量'!$A$1:$C$602,3,FALSE),0)</f>
        <v>0</v>
      </c>
      <c r="E944" s="7">
        <f t="shared" si="28"/>
        <v>7</v>
      </c>
      <c r="F944" s="7" t="str">
        <f t="shared" si="29"/>
        <v>錯誤</v>
      </c>
      <c r="G944" s="7">
        <f>VLOOKUP(A944,Sheet5!$A$2:$D$415,4,FALSE)</f>
        <v>1</v>
      </c>
      <c r="H944" s="7">
        <f>VLOOKUP(A944,Sheet5!$A$2:$D$415,3,FALSE)</f>
        <v>2</v>
      </c>
      <c r="I944" s="7">
        <f>VLOOKUP(A944,'1201-29周均耗用'!$A$1:$C$602,3,FALSE)</f>
        <v>0.8</v>
      </c>
    </row>
    <row r="945" spans="1:9">
      <c r="A945" s="13" t="s">
        <v>1895</v>
      </c>
      <c r="B945" s="14" t="s">
        <v>1896</v>
      </c>
      <c r="C945" s="13">
        <v>0</v>
      </c>
      <c r="D945" s="7">
        <f>IFERROR(VLOOKUP(A945,'1227-29耗量'!$A$1:$C$602,3,FALSE),0)</f>
        <v>0</v>
      </c>
      <c r="E945" s="7">
        <f t="shared" si="28"/>
        <v>0</v>
      </c>
      <c r="F945" s="7" t="str">
        <f t="shared" si="29"/>
        <v>無資料</v>
      </c>
      <c r="G945" s="7" t="e">
        <f>VLOOKUP(A945,Sheet5!$A$2:$D$415,4,FALSE)</f>
        <v>#N/A</v>
      </c>
      <c r="H945" s="7" t="e">
        <f>VLOOKUP(A945,Sheet5!$A$2:$D$415,3,FALSE)</f>
        <v>#N/A</v>
      </c>
      <c r="I945" s="7" t="e">
        <f>VLOOKUP(A945,'1201-29周均耗用'!$A$1:$C$602,3,FALSE)</f>
        <v>#N/A</v>
      </c>
    </row>
    <row r="946" spans="1:9">
      <c r="A946" s="13" t="s">
        <v>1897</v>
      </c>
      <c r="B946" s="14" t="s">
        <v>1898</v>
      </c>
      <c r="C946" s="13">
        <v>1</v>
      </c>
      <c r="D946" s="7">
        <f>IFERROR(VLOOKUP(A946,'1227-29耗量'!$A$1:$C$602,3,FALSE),0)</f>
        <v>0</v>
      </c>
      <c r="E946" s="7">
        <f t="shared" si="28"/>
        <v>1</v>
      </c>
      <c r="F946" s="7" t="str">
        <f t="shared" si="29"/>
        <v>無資料</v>
      </c>
      <c r="G946" s="7" t="e">
        <f>VLOOKUP(A946,Sheet5!$A$2:$D$415,4,FALSE)</f>
        <v>#N/A</v>
      </c>
      <c r="H946" s="7" t="e">
        <f>VLOOKUP(A946,Sheet5!$A$2:$D$415,3,FALSE)</f>
        <v>#N/A</v>
      </c>
      <c r="I946" s="7">
        <f>VLOOKUP(A946,'1201-29周均耗用'!$A$1:$C$602,3,FALSE)</f>
        <v>1.5</v>
      </c>
    </row>
    <row r="947" spans="1:9">
      <c r="A947" s="13" t="s">
        <v>1899</v>
      </c>
      <c r="B947" s="14" t="s">
        <v>1900</v>
      </c>
      <c r="C947" s="13">
        <v>0</v>
      </c>
      <c r="D947" s="7">
        <f>IFERROR(VLOOKUP(A947,'1227-29耗量'!$A$1:$C$602,3,FALSE),0)</f>
        <v>0</v>
      </c>
      <c r="E947" s="7">
        <f t="shared" si="28"/>
        <v>0</v>
      </c>
      <c r="F947" s="7" t="str">
        <f t="shared" si="29"/>
        <v>無資料</v>
      </c>
      <c r="G947" s="7" t="e">
        <f>VLOOKUP(A947,Sheet5!$A$2:$D$415,4,FALSE)</f>
        <v>#N/A</v>
      </c>
      <c r="H947" s="7" t="e">
        <f>VLOOKUP(A947,Sheet5!$A$2:$D$415,3,FALSE)</f>
        <v>#N/A</v>
      </c>
      <c r="I947" s="7" t="e">
        <f>VLOOKUP(A947,'1201-29周均耗用'!$A$1:$C$602,3,FALSE)</f>
        <v>#N/A</v>
      </c>
    </row>
    <row r="948" spans="1:9">
      <c r="A948" s="13" t="s">
        <v>1901</v>
      </c>
      <c r="B948" s="14" t="s">
        <v>1902</v>
      </c>
      <c r="C948" s="13">
        <v>48</v>
      </c>
      <c r="D948" s="7">
        <f>VLOOKUP(A948,'1227-29耗量'!$A$1:$C$602,3,FALSE)</f>
        <v>2</v>
      </c>
      <c r="E948" s="7">
        <f t="shared" si="28"/>
        <v>46</v>
      </c>
      <c r="F948" s="7" t="str">
        <f t="shared" si="29"/>
        <v>錯誤</v>
      </c>
      <c r="G948" s="7">
        <f>VLOOKUP(A948,Sheet5!$A$2:$D$415,4,FALSE)</f>
        <v>26</v>
      </c>
      <c r="H948" s="7">
        <f>VLOOKUP(A948,Sheet5!$A$2:$D$415,3,FALSE)</f>
        <v>28</v>
      </c>
      <c r="I948" s="7" t="e">
        <f>VLOOKUP(A948,'1201-29周均耗用'!$A$1:$C$602,3,FALSE)</f>
        <v>#N/A</v>
      </c>
    </row>
    <row r="949" spans="1:9">
      <c r="A949" s="13" t="s">
        <v>1903</v>
      </c>
      <c r="B949" s="14" t="s">
        <v>1904</v>
      </c>
      <c r="C949" s="13">
        <v>170</v>
      </c>
      <c r="D949" s="7">
        <f>VLOOKUP(A949,'1227-29耗量'!$A$1:$C$602,3,FALSE)</f>
        <v>1</v>
      </c>
      <c r="E949" s="7">
        <f t="shared" si="28"/>
        <v>169</v>
      </c>
      <c r="F949" s="7" t="str">
        <f t="shared" si="29"/>
        <v>錯誤</v>
      </c>
      <c r="G949" s="7">
        <f>VLOOKUP(A949,Sheet5!$A$2:$D$415,4,FALSE)</f>
        <v>32</v>
      </c>
      <c r="H949" s="7">
        <f>VLOOKUP(A949,Sheet5!$A$2:$D$415,3,FALSE)</f>
        <v>126</v>
      </c>
      <c r="I949" s="7" t="e">
        <f>VLOOKUP(A949,'1201-29周均耗用'!$A$1:$C$602,3,FALSE)</f>
        <v>#N/A</v>
      </c>
    </row>
    <row r="950" spans="1:9">
      <c r="A950" s="13" t="s">
        <v>1905</v>
      </c>
      <c r="B950" s="14" t="s">
        <v>1906</v>
      </c>
      <c r="C950" s="13">
        <v>0</v>
      </c>
      <c r="D950" s="7">
        <f>IFERROR(VLOOKUP(A950,'1227-29耗量'!$A$1:$C$602,3,FALSE),0)</f>
        <v>0</v>
      </c>
      <c r="E950" s="7">
        <f t="shared" si="28"/>
        <v>0</v>
      </c>
      <c r="F950" s="7" t="str">
        <f t="shared" si="29"/>
        <v>無資料</v>
      </c>
      <c r="G950" s="7" t="e">
        <f>VLOOKUP(A950,Sheet5!$A$2:$D$415,4,FALSE)</f>
        <v>#N/A</v>
      </c>
      <c r="H950" s="7" t="e">
        <f>VLOOKUP(A950,Sheet5!$A$2:$D$415,3,FALSE)</f>
        <v>#N/A</v>
      </c>
      <c r="I950" s="7" t="e">
        <f>VLOOKUP(A950,'1201-29周均耗用'!$A$1:$C$602,3,FALSE)</f>
        <v>#N/A</v>
      </c>
    </row>
    <row r="951" spans="1:9">
      <c r="A951" s="13" t="s">
        <v>1907</v>
      </c>
      <c r="B951" s="14" t="s">
        <v>1908</v>
      </c>
      <c r="C951" s="13">
        <v>58</v>
      </c>
      <c r="D951" s="7">
        <f>IFERROR(VLOOKUP(A951,'1227-29耗量'!$A$1:$C$602,3,FALSE),0)</f>
        <v>5</v>
      </c>
      <c r="E951" s="7">
        <f t="shared" si="28"/>
        <v>53</v>
      </c>
      <c r="F951" s="7" t="str">
        <f t="shared" si="29"/>
        <v>無資料</v>
      </c>
      <c r="G951" s="7" t="e">
        <f>VLOOKUP(A951,Sheet5!$A$2:$D$415,4,FALSE)</f>
        <v>#N/A</v>
      </c>
      <c r="H951" s="7" t="e">
        <f>VLOOKUP(A951,Sheet5!$A$2:$D$415,3,FALSE)</f>
        <v>#N/A</v>
      </c>
      <c r="I951" s="7" t="e">
        <f>VLOOKUP(A951,'1201-29周均耗用'!$A$1:$C$602,3,FALSE)</f>
        <v>#N/A</v>
      </c>
    </row>
    <row r="952" spans="1:9">
      <c r="A952" s="13" t="s">
        <v>1909</v>
      </c>
      <c r="B952" s="14" t="s">
        <v>1910</v>
      </c>
      <c r="C952" s="13">
        <v>0</v>
      </c>
      <c r="D952" s="7">
        <f>IFERROR(VLOOKUP(A952,'1227-29耗量'!$A$1:$C$602,3,FALSE),0)</f>
        <v>0</v>
      </c>
      <c r="E952" s="7">
        <f t="shared" si="28"/>
        <v>0</v>
      </c>
      <c r="F952" s="7" t="str">
        <f t="shared" si="29"/>
        <v>無資料</v>
      </c>
      <c r="G952" s="7" t="e">
        <f>VLOOKUP(A952,Sheet5!$A$2:$D$415,4,FALSE)</f>
        <v>#N/A</v>
      </c>
      <c r="H952" s="7" t="e">
        <f>VLOOKUP(A952,Sheet5!$A$2:$D$415,3,FALSE)</f>
        <v>#N/A</v>
      </c>
      <c r="I952" s="7" t="e">
        <f>VLOOKUP(A952,'1201-29周均耗用'!$A$1:$C$602,3,FALSE)</f>
        <v>#N/A</v>
      </c>
    </row>
    <row r="953" spans="1:9">
      <c r="A953" s="13" t="s">
        <v>1911</v>
      </c>
      <c r="B953" s="14" t="s">
        <v>1912</v>
      </c>
      <c r="C953" s="13">
        <v>0</v>
      </c>
      <c r="D953" s="7">
        <f>IFERROR(VLOOKUP(A953,'1227-29耗量'!$A$1:$C$602,3,FALSE),0)</f>
        <v>0</v>
      </c>
      <c r="E953" s="7">
        <f t="shared" si="28"/>
        <v>0</v>
      </c>
      <c r="F953" s="7" t="str">
        <f t="shared" si="29"/>
        <v>無資料</v>
      </c>
      <c r="G953" s="7" t="e">
        <f>VLOOKUP(A953,Sheet5!$A$2:$D$415,4,FALSE)</f>
        <v>#N/A</v>
      </c>
      <c r="H953" s="7" t="e">
        <f>VLOOKUP(A953,Sheet5!$A$2:$D$415,3,FALSE)</f>
        <v>#N/A</v>
      </c>
      <c r="I953" s="7" t="e">
        <f>VLOOKUP(A953,'1201-29周均耗用'!$A$1:$C$602,3,FALSE)</f>
        <v>#N/A</v>
      </c>
    </row>
    <row r="954" spans="1:9">
      <c r="A954" s="13" t="s">
        <v>1913</v>
      </c>
      <c r="B954" s="14" t="s">
        <v>1914</v>
      </c>
      <c r="C954" s="13">
        <v>0</v>
      </c>
      <c r="D954" s="7">
        <f>IFERROR(VLOOKUP(A954,'1227-29耗量'!$A$1:$C$602,3,FALSE),0)</f>
        <v>0</v>
      </c>
      <c r="E954" s="7">
        <f t="shared" si="28"/>
        <v>0</v>
      </c>
      <c r="F954" s="7" t="str">
        <f t="shared" si="29"/>
        <v>無資料</v>
      </c>
      <c r="G954" s="7" t="e">
        <f>VLOOKUP(A954,Sheet5!$A$2:$D$415,4,FALSE)</f>
        <v>#N/A</v>
      </c>
      <c r="H954" s="7" t="e">
        <f>VLOOKUP(A954,Sheet5!$A$2:$D$415,3,FALSE)</f>
        <v>#N/A</v>
      </c>
      <c r="I954" s="7" t="e">
        <f>VLOOKUP(A954,'1201-29周均耗用'!$A$1:$C$602,3,FALSE)</f>
        <v>#N/A</v>
      </c>
    </row>
    <row r="955" spans="1:9">
      <c r="A955" s="13" t="s">
        <v>1915</v>
      </c>
      <c r="B955" s="14" t="s">
        <v>1916</v>
      </c>
      <c r="C955" s="13">
        <v>23</v>
      </c>
      <c r="D955" s="7">
        <f>VLOOKUP(A955,'1227-29耗量'!$A$1:$C$602,3,FALSE)</f>
        <v>21</v>
      </c>
      <c r="E955" s="7">
        <f t="shared" si="28"/>
        <v>2</v>
      </c>
      <c r="F955" s="7" t="str">
        <f t="shared" si="29"/>
        <v>錯誤</v>
      </c>
      <c r="G955" s="7">
        <f>VLOOKUP(A955,Sheet5!$A$2:$D$415,4,FALSE)</f>
        <v>10</v>
      </c>
      <c r="H955" s="7">
        <f>VLOOKUP(A955,Sheet5!$A$2:$D$415,3,FALSE)</f>
        <v>56</v>
      </c>
      <c r="I955" s="7" t="e">
        <f>VLOOKUP(A955,'1201-29周均耗用'!$A$1:$C$602,3,FALSE)</f>
        <v>#N/A</v>
      </c>
    </row>
    <row r="956" spans="1:9">
      <c r="A956" s="13" t="s">
        <v>1917</v>
      </c>
      <c r="B956" s="14" t="s">
        <v>1918</v>
      </c>
      <c r="C956" s="13">
        <v>0</v>
      </c>
      <c r="D956" s="7">
        <f>IFERROR(VLOOKUP(A956,'1227-29耗量'!$A$1:$C$602,3,FALSE),0)</f>
        <v>0</v>
      </c>
      <c r="E956" s="7">
        <f t="shared" si="28"/>
        <v>0</v>
      </c>
      <c r="F956" s="7" t="str">
        <f t="shared" si="29"/>
        <v>無資料</v>
      </c>
      <c r="G956" s="7" t="e">
        <f>VLOOKUP(A956,Sheet5!$A$2:$D$415,4,FALSE)</f>
        <v>#N/A</v>
      </c>
      <c r="H956" s="7" t="e">
        <f>VLOOKUP(A956,Sheet5!$A$2:$D$415,3,FALSE)</f>
        <v>#N/A</v>
      </c>
      <c r="I956" s="7" t="e">
        <f>VLOOKUP(A956,'1201-29周均耗用'!$A$1:$C$602,3,FALSE)</f>
        <v>#N/A</v>
      </c>
    </row>
    <row r="957" spans="1:9">
      <c r="A957" s="13" t="s">
        <v>1919</v>
      </c>
      <c r="B957" s="14" t="s">
        <v>1920</v>
      </c>
      <c r="C957" s="13">
        <v>300</v>
      </c>
      <c r="D957" s="7">
        <f>VLOOKUP(A957,'1227-29耗量'!$A$1:$C$602,3,FALSE)</f>
        <v>10</v>
      </c>
      <c r="E957" s="7">
        <f t="shared" si="28"/>
        <v>290</v>
      </c>
      <c r="F957" s="7" t="str">
        <f t="shared" si="29"/>
        <v>錯誤</v>
      </c>
      <c r="G957" s="7">
        <f>VLOOKUP(A957,Sheet5!$A$2:$D$415,4,FALSE)</f>
        <v>191</v>
      </c>
      <c r="H957" s="7">
        <f>VLOOKUP(A957,Sheet5!$A$2:$D$415,3,FALSE)</f>
        <v>300</v>
      </c>
      <c r="I957" s="7" t="e">
        <f>VLOOKUP(A957,'1201-29周均耗用'!$A$1:$C$602,3,FALSE)</f>
        <v>#N/A</v>
      </c>
    </row>
    <row r="958" spans="1:9">
      <c r="A958" s="13" t="s">
        <v>1921</v>
      </c>
      <c r="B958" s="14" t="s">
        <v>1922</v>
      </c>
      <c r="C958" s="13">
        <v>0</v>
      </c>
      <c r="D958" s="7">
        <f>IFERROR(VLOOKUP(A958,'1227-29耗量'!$A$1:$C$602,3,FALSE),0)</f>
        <v>0</v>
      </c>
      <c r="E958" s="7">
        <f t="shared" si="28"/>
        <v>0</v>
      </c>
      <c r="F958" s="7" t="str">
        <f t="shared" si="29"/>
        <v>錯誤</v>
      </c>
      <c r="G958" s="7">
        <f>VLOOKUP(A958,Sheet5!$A$2:$D$415,4,FALSE)</f>
        <v>11</v>
      </c>
      <c r="H958" s="7">
        <f>VLOOKUP(A958,Sheet5!$A$2:$D$415,3,FALSE)</f>
        <v>0</v>
      </c>
      <c r="I958" s="7">
        <f>VLOOKUP(A958,'1201-29周均耗用'!$A$1:$C$602,3,FALSE)</f>
        <v>5.5</v>
      </c>
    </row>
    <row r="959" spans="1:9">
      <c r="A959" s="13" t="s">
        <v>1923</v>
      </c>
      <c r="B959" s="14" t="s">
        <v>1924</v>
      </c>
      <c r="C959" s="13">
        <v>0</v>
      </c>
      <c r="D959" s="7">
        <f>IFERROR(VLOOKUP(A959,'1227-29耗量'!$A$1:$C$602,3,FALSE),0)</f>
        <v>0</v>
      </c>
      <c r="E959" s="7">
        <f t="shared" si="28"/>
        <v>0</v>
      </c>
      <c r="F959" s="7" t="str">
        <f t="shared" si="29"/>
        <v>無資料</v>
      </c>
      <c r="G959" s="7" t="e">
        <f>VLOOKUP(A959,Sheet5!$A$2:$D$415,4,FALSE)</f>
        <v>#N/A</v>
      </c>
      <c r="H959" s="7" t="e">
        <f>VLOOKUP(A959,Sheet5!$A$2:$D$415,3,FALSE)</f>
        <v>#N/A</v>
      </c>
      <c r="I959" s="7" t="e">
        <f>VLOOKUP(A959,'1201-29周均耗用'!$A$1:$C$602,3,FALSE)</f>
        <v>#N/A</v>
      </c>
    </row>
    <row r="960" spans="1:9">
      <c r="A960" s="13" t="s">
        <v>1925</v>
      </c>
      <c r="B960" s="14" t="s">
        <v>1926</v>
      </c>
      <c r="C960" s="13">
        <v>698</v>
      </c>
      <c r="D960" s="7">
        <f>VLOOKUP(A960,'1227-29耗量'!$A$1:$C$602,3,FALSE)</f>
        <v>58</v>
      </c>
      <c r="E960" s="7">
        <f t="shared" si="28"/>
        <v>640</v>
      </c>
      <c r="F960" s="7" t="str">
        <f t="shared" si="29"/>
        <v>錯誤</v>
      </c>
      <c r="G960" s="7">
        <f>VLOOKUP(A960,Sheet5!$A$2:$D$415,4,FALSE)</f>
        <v>423</v>
      </c>
      <c r="H960" s="7">
        <f>VLOOKUP(A960,Sheet5!$A$2:$D$415,3,FALSE)</f>
        <v>1680</v>
      </c>
      <c r="I960" s="7" t="e">
        <f>VLOOKUP(A960,'1201-29周均耗用'!$A$1:$C$602,3,FALSE)</f>
        <v>#N/A</v>
      </c>
    </row>
    <row r="961" spans="1:9">
      <c r="A961" s="13" t="s">
        <v>1927</v>
      </c>
      <c r="B961" s="14" t="s">
        <v>1928</v>
      </c>
      <c r="C961" s="13">
        <v>0</v>
      </c>
      <c r="D961" s="7">
        <f>IFERROR(VLOOKUP(A961,'1227-29耗量'!$A$1:$C$602,3,FALSE),0)</f>
        <v>0</v>
      </c>
      <c r="E961" s="7">
        <f t="shared" si="28"/>
        <v>0</v>
      </c>
      <c r="F961" s="7" t="str">
        <f t="shared" si="29"/>
        <v>無資料</v>
      </c>
      <c r="G961" s="7" t="e">
        <f>VLOOKUP(A961,Sheet5!$A$2:$D$415,4,FALSE)</f>
        <v>#N/A</v>
      </c>
      <c r="H961" s="7" t="e">
        <f>VLOOKUP(A961,Sheet5!$A$2:$D$415,3,FALSE)</f>
        <v>#N/A</v>
      </c>
      <c r="I961" s="7" t="e">
        <f>VLOOKUP(A961,'1201-29周均耗用'!$A$1:$C$602,3,FALSE)</f>
        <v>#N/A</v>
      </c>
    </row>
    <row r="962" spans="1:9">
      <c r="A962" s="13" t="s">
        <v>1929</v>
      </c>
      <c r="B962" s="14" t="s">
        <v>1930</v>
      </c>
      <c r="C962" s="13">
        <v>31</v>
      </c>
      <c r="D962" s="7">
        <f>IFERROR(VLOOKUP(A962,'1227-29耗量'!$A$1:$C$602,3,FALSE),0)</f>
        <v>0</v>
      </c>
      <c r="E962" s="7">
        <f t="shared" si="28"/>
        <v>31</v>
      </c>
      <c r="F962" s="7" t="str">
        <f t="shared" si="29"/>
        <v>無資料</v>
      </c>
      <c r="G962" s="7" t="e">
        <f>VLOOKUP(A962,Sheet5!$A$2:$D$415,4,FALSE)</f>
        <v>#N/A</v>
      </c>
      <c r="H962" s="7" t="e">
        <f>VLOOKUP(A962,Sheet5!$A$2:$D$415,3,FALSE)</f>
        <v>#N/A</v>
      </c>
      <c r="I962" s="7" t="e">
        <f>VLOOKUP(A962,'1201-29周均耗用'!$A$1:$C$602,3,FALSE)</f>
        <v>#N/A</v>
      </c>
    </row>
    <row r="963" spans="1:9">
      <c r="A963" s="13" t="s">
        <v>1931</v>
      </c>
      <c r="B963" s="14" t="s">
        <v>1932</v>
      </c>
      <c r="C963" s="13">
        <v>26</v>
      </c>
      <c r="D963" s="7">
        <f>IFERROR(VLOOKUP(A963,'1227-29耗量'!$A$1:$C$602,3,FALSE),0)</f>
        <v>0</v>
      </c>
      <c r="E963" s="7">
        <f t="shared" ref="E963:E1026" si="30">C963-D963</f>
        <v>26</v>
      </c>
      <c r="F963" s="7" t="str">
        <f t="shared" ref="F963:F1026" si="31">IFERROR(IF(E963=G963,"OK","錯誤"),"無資料")</f>
        <v>無資料</v>
      </c>
      <c r="G963" s="7" t="e">
        <f>VLOOKUP(A963,Sheet5!$A$2:$D$415,4,FALSE)</f>
        <v>#N/A</v>
      </c>
      <c r="H963" s="7" t="e">
        <f>VLOOKUP(A963,Sheet5!$A$2:$D$415,3,FALSE)</f>
        <v>#N/A</v>
      </c>
      <c r="I963" s="7" t="e">
        <f>VLOOKUP(A963,'1201-29周均耗用'!$A$1:$C$602,3,FALSE)</f>
        <v>#N/A</v>
      </c>
    </row>
    <row r="964" spans="1:9">
      <c r="A964" s="13" t="s">
        <v>1933</v>
      </c>
      <c r="B964" s="14" t="s">
        <v>1934</v>
      </c>
      <c r="C964" s="13">
        <v>46</v>
      </c>
      <c r="D964" s="7">
        <f>IFERROR(VLOOKUP(A964,'1227-29耗量'!$A$1:$C$602,3,FALSE),0)</f>
        <v>0</v>
      </c>
      <c r="E964" s="7">
        <f t="shared" si="30"/>
        <v>46</v>
      </c>
      <c r="F964" s="7" t="str">
        <f t="shared" si="31"/>
        <v>無資料</v>
      </c>
      <c r="G964" s="7" t="e">
        <f>VLOOKUP(A964,Sheet5!$A$2:$D$415,4,FALSE)</f>
        <v>#N/A</v>
      </c>
      <c r="H964" s="7" t="e">
        <f>VLOOKUP(A964,Sheet5!$A$2:$D$415,3,FALSE)</f>
        <v>#N/A</v>
      </c>
      <c r="I964" s="7" t="e">
        <f>VLOOKUP(A964,'1201-29周均耗用'!$A$1:$C$602,3,FALSE)</f>
        <v>#N/A</v>
      </c>
    </row>
    <row r="965" spans="1:9">
      <c r="A965" s="13" t="s">
        <v>1935</v>
      </c>
      <c r="B965" s="14" t="s">
        <v>1936</v>
      </c>
      <c r="C965" s="13">
        <v>264</v>
      </c>
      <c r="D965" s="7">
        <f>IFERROR(VLOOKUP(A965,'1227-29耗量'!$A$1:$C$602,3,FALSE),0)</f>
        <v>1</v>
      </c>
      <c r="E965" s="7">
        <f t="shared" si="30"/>
        <v>263</v>
      </c>
      <c r="F965" s="7" t="str">
        <f t="shared" si="31"/>
        <v>無資料</v>
      </c>
      <c r="G965" s="7" t="e">
        <f>VLOOKUP(A965,Sheet5!$A$2:$D$415,4,FALSE)</f>
        <v>#N/A</v>
      </c>
      <c r="H965" s="7" t="e">
        <f>VLOOKUP(A965,Sheet5!$A$2:$D$415,3,FALSE)</f>
        <v>#N/A</v>
      </c>
      <c r="I965" s="7" t="e">
        <f>VLOOKUP(A965,'1201-29周均耗用'!$A$1:$C$602,3,FALSE)</f>
        <v>#N/A</v>
      </c>
    </row>
    <row r="966" spans="1:9">
      <c r="A966" s="13" t="s">
        <v>1937</v>
      </c>
      <c r="B966" s="14" t="s">
        <v>1938</v>
      </c>
      <c r="C966" s="13">
        <v>0</v>
      </c>
      <c r="D966" s="7">
        <f>IFERROR(VLOOKUP(A966,'1227-29耗量'!$A$1:$C$602,3,FALSE),0)</f>
        <v>0</v>
      </c>
      <c r="E966" s="7">
        <f t="shared" si="30"/>
        <v>0</v>
      </c>
      <c r="F966" s="7" t="str">
        <f t="shared" si="31"/>
        <v>無資料</v>
      </c>
      <c r="G966" s="7" t="e">
        <f>VLOOKUP(A966,Sheet5!$A$2:$D$415,4,FALSE)</f>
        <v>#N/A</v>
      </c>
      <c r="H966" s="7" t="e">
        <f>VLOOKUP(A966,Sheet5!$A$2:$D$415,3,FALSE)</f>
        <v>#N/A</v>
      </c>
      <c r="I966" s="7" t="e">
        <f>VLOOKUP(A966,'1201-29周均耗用'!$A$1:$C$602,3,FALSE)</f>
        <v>#N/A</v>
      </c>
    </row>
    <row r="967" spans="1:9">
      <c r="A967" s="13" t="s">
        <v>1939</v>
      </c>
      <c r="B967" s="14" t="s">
        <v>1940</v>
      </c>
      <c r="C967" s="13">
        <v>33</v>
      </c>
      <c r="D967" s="7">
        <f>IFERROR(VLOOKUP(A967,'1227-29耗量'!$A$1:$C$602,3,FALSE),0)</f>
        <v>1</v>
      </c>
      <c r="E967" s="7">
        <f t="shared" si="30"/>
        <v>32</v>
      </c>
      <c r="F967" s="7" t="str">
        <f t="shared" si="31"/>
        <v>無資料</v>
      </c>
      <c r="G967" s="7" t="e">
        <f>VLOOKUP(A967,Sheet5!$A$2:$D$415,4,FALSE)</f>
        <v>#N/A</v>
      </c>
      <c r="H967" s="7" t="e">
        <f>VLOOKUP(A967,Sheet5!$A$2:$D$415,3,FALSE)</f>
        <v>#N/A</v>
      </c>
      <c r="I967" s="7">
        <f>VLOOKUP(A967,'1201-29周均耗用'!$A$1:$C$602,3,FALSE)</f>
        <v>8.8</v>
      </c>
    </row>
    <row r="968" spans="1:9">
      <c r="A968" s="13" t="s">
        <v>1941</v>
      </c>
      <c r="B968" s="14" t="s">
        <v>1942</v>
      </c>
      <c r="C968" s="13">
        <v>126</v>
      </c>
      <c r="D968" s="7">
        <f>IFERROR(VLOOKUP(A968,'1227-29耗量'!$A$1:$C$602,3,FALSE),0)</f>
        <v>1</v>
      </c>
      <c r="E968" s="7">
        <f t="shared" si="30"/>
        <v>125</v>
      </c>
      <c r="F968" s="7" t="str">
        <f t="shared" si="31"/>
        <v>無資料</v>
      </c>
      <c r="G968" s="7" t="e">
        <f>VLOOKUP(A968,Sheet5!$A$2:$D$415,4,FALSE)</f>
        <v>#N/A</v>
      </c>
      <c r="H968" s="7" t="e">
        <f>VLOOKUP(A968,Sheet5!$A$2:$D$415,3,FALSE)</f>
        <v>#N/A</v>
      </c>
      <c r="I968" s="7">
        <f>VLOOKUP(A968,'1201-29周均耗用'!$A$1:$C$602,3,FALSE)</f>
        <v>16</v>
      </c>
    </row>
    <row r="969" spans="1:9">
      <c r="A969" s="13" t="s">
        <v>1943</v>
      </c>
      <c r="B969" s="14" t="s">
        <v>1944</v>
      </c>
      <c r="C969" s="13">
        <v>490</v>
      </c>
      <c r="D969" s="7">
        <f>IFERROR(VLOOKUP(A969,'1227-29耗量'!$A$1:$C$602,3,FALSE),0)</f>
        <v>2</v>
      </c>
      <c r="E969" s="7">
        <f t="shared" si="30"/>
        <v>488</v>
      </c>
      <c r="F969" s="7" t="str">
        <f t="shared" si="31"/>
        <v>無資料</v>
      </c>
      <c r="G969" s="7" t="e">
        <f>VLOOKUP(A969,Sheet5!$A$2:$D$415,4,FALSE)</f>
        <v>#N/A</v>
      </c>
      <c r="H969" s="7" t="e">
        <f>VLOOKUP(A969,Sheet5!$A$2:$D$415,3,FALSE)</f>
        <v>#N/A</v>
      </c>
      <c r="I969" s="7" t="e">
        <f>VLOOKUP(A969,'1201-29周均耗用'!$A$1:$C$602,3,FALSE)</f>
        <v>#N/A</v>
      </c>
    </row>
    <row r="970" spans="1:9">
      <c r="A970" s="13" t="s">
        <v>1945</v>
      </c>
      <c r="B970" s="14" t="s">
        <v>1946</v>
      </c>
      <c r="C970" s="13">
        <v>73</v>
      </c>
      <c r="D970" s="7">
        <f>IFERROR(VLOOKUP(A970,'1227-29耗量'!$A$1:$C$602,3,FALSE),0)</f>
        <v>39</v>
      </c>
      <c r="E970" s="7">
        <f t="shared" si="30"/>
        <v>34</v>
      </c>
      <c r="F970" s="7" t="str">
        <f t="shared" si="31"/>
        <v>無資料</v>
      </c>
      <c r="G970" s="7" t="e">
        <f>VLOOKUP(A970,Sheet5!$A$2:$D$415,4,FALSE)</f>
        <v>#N/A</v>
      </c>
      <c r="H970" s="7" t="e">
        <f>VLOOKUP(A970,Sheet5!$A$2:$D$415,3,FALSE)</f>
        <v>#N/A</v>
      </c>
      <c r="I970" s="7" t="e">
        <f>VLOOKUP(A970,'1201-29周均耗用'!$A$1:$C$602,3,FALSE)</f>
        <v>#N/A</v>
      </c>
    </row>
    <row r="971" spans="1:9">
      <c r="A971" s="13" t="s">
        <v>1947</v>
      </c>
      <c r="B971" s="14" t="s">
        <v>1948</v>
      </c>
      <c r="C971" s="13">
        <v>92</v>
      </c>
      <c r="D971" s="7">
        <f>IFERROR(VLOOKUP(A971,'1227-29耗量'!$A$1:$C$602,3,FALSE),0)</f>
        <v>0</v>
      </c>
      <c r="E971" s="7">
        <f t="shared" si="30"/>
        <v>92</v>
      </c>
      <c r="F971" s="7" t="str">
        <f t="shared" si="31"/>
        <v>無資料</v>
      </c>
      <c r="G971" s="7" t="e">
        <f>VLOOKUP(A971,Sheet5!$A$2:$D$415,4,FALSE)</f>
        <v>#N/A</v>
      </c>
      <c r="H971" s="7" t="e">
        <f>VLOOKUP(A971,Sheet5!$A$2:$D$415,3,FALSE)</f>
        <v>#N/A</v>
      </c>
      <c r="I971" s="7" t="e">
        <f>VLOOKUP(A971,'1201-29周均耗用'!$A$1:$C$602,3,FALSE)</f>
        <v>#N/A</v>
      </c>
    </row>
    <row r="972" spans="1:9">
      <c r="A972" s="13" t="s">
        <v>1949</v>
      </c>
      <c r="B972" s="14" t="s">
        <v>1950</v>
      </c>
      <c r="C972" s="13">
        <v>0</v>
      </c>
      <c r="D972" s="7">
        <f>IFERROR(VLOOKUP(A972,'1227-29耗量'!$A$1:$C$602,3,FALSE),0)</f>
        <v>0</v>
      </c>
      <c r="E972" s="7">
        <f t="shared" si="30"/>
        <v>0</v>
      </c>
      <c r="F972" s="7" t="str">
        <f t="shared" si="31"/>
        <v>無資料</v>
      </c>
      <c r="G972" s="7" t="e">
        <f>VLOOKUP(A972,Sheet5!$A$2:$D$415,4,FALSE)</f>
        <v>#N/A</v>
      </c>
      <c r="H972" s="7" t="e">
        <f>VLOOKUP(A972,Sheet5!$A$2:$D$415,3,FALSE)</f>
        <v>#N/A</v>
      </c>
      <c r="I972" s="7" t="e">
        <f>VLOOKUP(A972,'1201-29周均耗用'!$A$1:$C$602,3,FALSE)</f>
        <v>#N/A</v>
      </c>
    </row>
    <row r="973" spans="1:9">
      <c r="A973" s="13" t="s">
        <v>1951</v>
      </c>
      <c r="B973" s="14" t="s">
        <v>1952</v>
      </c>
      <c r="C973" s="13">
        <v>1525</v>
      </c>
      <c r="D973" s="7">
        <f>IFERROR(VLOOKUP(A973,'1227-29耗量'!$A$1:$C$602,3,FALSE),0)</f>
        <v>28</v>
      </c>
      <c r="E973" s="7">
        <f t="shared" si="30"/>
        <v>1497</v>
      </c>
      <c r="F973" s="7" t="str">
        <f t="shared" si="31"/>
        <v>無資料</v>
      </c>
      <c r="G973" s="7" t="e">
        <f>VLOOKUP(A973,Sheet5!$A$2:$D$415,4,FALSE)</f>
        <v>#N/A</v>
      </c>
      <c r="H973" s="7" t="e">
        <f>VLOOKUP(A973,Sheet5!$A$2:$D$415,3,FALSE)</f>
        <v>#N/A</v>
      </c>
      <c r="I973" s="7" t="e">
        <f>VLOOKUP(A973,'1201-29周均耗用'!$A$1:$C$602,3,FALSE)</f>
        <v>#N/A</v>
      </c>
    </row>
    <row r="974" spans="1:9">
      <c r="A974" s="13" t="s">
        <v>1953</v>
      </c>
      <c r="B974" s="14" t="s">
        <v>1954</v>
      </c>
      <c r="C974" s="13">
        <v>1757</v>
      </c>
      <c r="D974" s="7">
        <f>IFERROR(VLOOKUP(A974,'1227-29耗量'!$A$1:$C$602,3,FALSE),0)</f>
        <v>25</v>
      </c>
      <c r="E974" s="7">
        <f t="shared" si="30"/>
        <v>1732</v>
      </c>
      <c r="F974" s="7" t="str">
        <f t="shared" si="31"/>
        <v>無資料</v>
      </c>
      <c r="G974" s="7" t="e">
        <f>VLOOKUP(A974,Sheet5!$A$2:$D$415,4,FALSE)</f>
        <v>#N/A</v>
      </c>
      <c r="H974" s="7" t="e">
        <f>VLOOKUP(A974,Sheet5!$A$2:$D$415,3,FALSE)</f>
        <v>#N/A</v>
      </c>
      <c r="I974" s="7" t="e">
        <f>VLOOKUP(A974,'1201-29周均耗用'!$A$1:$C$602,3,FALSE)</f>
        <v>#N/A</v>
      </c>
    </row>
    <row r="975" spans="1:9">
      <c r="A975" s="13" t="s">
        <v>1955</v>
      </c>
      <c r="B975" s="14" t="s">
        <v>1956</v>
      </c>
      <c r="C975" s="13">
        <v>0</v>
      </c>
      <c r="D975" s="7">
        <f>IFERROR(VLOOKUP(A975,'1227-29耗量'!$A$1:$C$602,3,FALSE),0)</f>
        <v>0</v>
      </c>
      <c r="E975" s="7">
        <f t="shared" si="30"/>
        <v>0</v>
      </c>
      <c r="F975" s="7" t="str">
        <f t="shared" si="31"/>
        <v>無資料</v>
      </c>
      <c r="G975" s="7" t="e">
        <f>VLOOKUP(A975,Sheet5!$A$2:$D$415,4,FALSE)</f>
        <v>#N/A</v>
      </c>
      <c r="H975" s="7" t="e">
        <f>VLOOKUP(A975,Sheet5!$A$2:$D$415,3,FALSE)</f>
        <v>#N/A</v>
      </c>
      <c r="I975" s="7" t="e">
        <f>VLOOKUP(A975,'1201-29周均耗用'!$A$1:$C$602,3,FALSE)</f>
        <v>#N/A</v>
      </c>
    </row>
    <row r="976" spans="1:9">
      <c r="A976" s="13" t="s">
        <v>1957</v>
      </c>
      <c r="B976" s="14" t="s">
        <v>1958</v>
      </c>
      <c r="C976" s="13">
        <v>0</v>
      </c>
      <c r="D976" s="7">
        <f>IFERROR(VLOOKUP(A976,'1227-29耗量'!$A$1:$C$602,3,FALSE),0)</f>
        <v>0</v>
      </c>
      <c r="E976" s="7">
        <f t="shared" si="30"/>
        <v>0</v>
      </c>
      <c r="F976" s="7" t="str">
        <f t="shared" si="31"/>
        <v>無資料</v>
      </c>
      <c r="G976" s="7" t="e">
        <f>VLOOKUP(A976,Sheet5!$A$2:$D$415,4,FALSE)</f>
        <v>#N/A</v>
      </c>
      <c r="H976" s="7" t="e">
        <f>VLOOKUP(A976,Sheet5!$A$2:$D$415,3,FALSE)</f>
        <v>#N/A</v>
      </c>
      <c r="I976" s="7" t="e">
        <f>VLOOKUP(A976,'1201-29周均耗用'!$A$1:$C$602,3,FALSE)</f>
        <v>#N/A</v>
      </c>
    </row>
    <row r="977" spans="1:9">
      <c r="A977" s="13" t="s">
        <v>1959</v>
      </c>
      <c r="B977" s="14" t="s">
        <v>1960</v>
      </c>
      <c r="C977" s="13">
        <v>200</v>
      </c>
      <c r="D977" s="7">
        <f>IFERROR(VLOOKUP(A977,'1227-29耗量'!$A$1:$C$602,3,FALSE),0)</f>
        <v>0</v>
      </c>
      <c r="E977" s="7">
        <f t="shared" si="30"/>
        <v>200</v>
      </c>
      <c r="F977" s="7" t="str">
        <f t="shared" si="31"/>
        <v>無資料</v>
      </c>
      <c r="G977" s="7" t="e">
        <f>VLOOKUP(A977,Sheet5!$A$2:$D$415,4,FALSE)</f>
        <v>#N/A</v>
      </c>
      <c r="H977" s="7" t="e">
        <f>VLOOKUP(A977,Sheet5!$A$2:$D$415,3,FALSE)</f>
        <v>#N/A</v>
      </c>
      <c r="I977" s="7" t="e">
        <f>VLOOKUP(A977,'1201-29周均耗用'!$A$1:$C$602,3,FALSE)</f>
        <v>#N/A</v>
      </c>
    </row>
    <row r="978" spans="1:9">
      <c r="A978" s="13" t="s">
        <v>1961</v>
      </c>
      <c r="B978" s="14" t="s">
        <v>1962</v>
      </c>
      <c r="C978" s="13">
        <v>272</v>
      </c>
      <c r="D978" s="7">
        <f>IFERROR(VLOOKUP(A978,'1227-29耗量'!$A$1:$C$602,3,FALSE),0)</f>
        <v>11</v>
      </c>
      <c r="E978" s="7">
        <f t="shared" si="30"/>
        <v>261</v>
      </c>
      <c r="F978" s="7" t="str">
        <f t="shared" si="31"/>
        <v>無資料</v>
      </c>
      <c r="G978" s="7" t="e">
        <f>VLOOKUP(A978,Sheet5!$A$2:$D$415,4,FALSE)</f>
        <v>#N/A</v>
      </c>
      <c r="H978" s="7" t="e">
        <f>VLOOKUP(A978,Sheet5!$A$2:$D$415,3,FALSE)</f>
        <v>#N/A</v>
      </c>
      <c r="I978" s="7">
        <f>VLOOKUP(A978,'1201-29周均耗用'!$A$1:$C$602,3,FALSE)</f>
        <v>58.8</v>
      </c>
    </row>
    <row r="979" spans="1:9">
      <c r="A979" s="13" t="s">
        <v>1963</v>
      </c>
      <c r="B979" s="14" t="s">
        <v>1964</v>
      </c>
      <c r="C979" s="13">
        <v>29</v>
      </c>
      <c r="D979" s="7">
        <f>IFERROR(VLOOKUP(A979,'1227-29耗量'!$A$1:$C$602,3,FALSE),0)</f>
        <v>1</v>
      </c>
      <c r="E979" s="7">
        <f t="shared" si="30"/>
        <v>28</v>
      </c>
      <c r="F979" s="7" t="str">
        <f t="shared" si="31"/>
        <v>無資料</v>
      </c>
      <c r="G979" s="7" t="e">
        <f>VLOOKUP(A979,Sheet5!$A$2:$D$415,4,FALSE)</f>
        <v>#N/A</v>
      </c>
      <c r="H979" s="7" t="e">
        <f>VLOOKUP(A979,Sheet5!$A$2:$D$415,3,FALSE)</f>
        <v>#N/A</v>
      </c>
      <c r="I979" s="7">
        <f>VLOOKUP(A979,'1201-29周均耗用'!$A$1:$C$602,3,FALSE)</f>
        <v>2.8</v>
      </c>
    </row>
    <row r="980" spans="1:9">
      <c r="A980" s="13" t="s">
        <v>1965</v>
      </c>
      <c r="B980" s="14" t="s">
        <v>1966</v>
      </c>
      <c r="C980" s="13">
        <v>0</v>
      </c>
      <c r="D980" s="7">
        <f>IFERROR(VLOOKUP(A980,'1227-29耗量'!$A$1:$C$602,3,FALSE),0)</f>
        <v>0</v>
      </c>
      <c r="E980" s="7">
        <f t="shared" si="30"/>
        <v>0</v>
      </c>
      <c r="F980" s="7" t="str">
        <f t="shared" si="31"/>
        <v>無資料</v>
      </c>
      <c r="G980" s="7" t="e">
        <f>VLOOKUP(A980,Sheet5!$A$2:$D$415,4,FALSE)</f>
        <v>#N/A</v>
      </c>
      <c r="H980" s="7" t="e">
        <f>VLOOKUP(A980,Sheet5!$A$2:$D$415,3,FALSE)</f>
        <v>#N/A</v>
      </c>
      <c r="I980" s="7">
        <f>VLOOKUP(A980,'1201-29周均耗用'!$A$1:$C$602,3,FALSE)</f>
        <v>2.2</v>
      </c>
    </row>
    <row r="981" spans="1:9">
      <c r="A981" s="13" t="s">
        <v>1967</v>
      </c>
      <c r="B981" s="14" t="s">
        <v>1968</v>
      </c>
      <c r="C981" s="13">
        <v>1911</v>
      </c>
      <c r="D981" s="7">
        <f>VLOOKUP(A981,'1227-29耗量'!$A$1:$C$602,3,FALSE)</f>
        <v>84</v>
      </c>
      <c r="E981" s="7">
        <f t="shared" si="30"/>
        <v>1827</v>
      </c>
      <c r="F981" s="7" t="str">
        <f t="shared" si="31"/>
        <v>錯誤</v>
      </c>
      <c r="G981" s="7">
        <f>VLOOKUP(A981,Sheet5!$A$2:$D$415,4,FALSE)</f>
        <v>715</v>
      </c>
      <c r="H981" s="7">
        <f>VLOOKUP(A981,Sheet5!$A$2:$D$415,3,FALSE)</f>
        <v>2000</v>
      </c>
      <c r="I981" s="7">
        <f>VLOOKUP(A981,'1201-29周均耗用'!$A$1:$C$602,3,FALSE)</f>
        <v>518.8</v>
      </c>
    </row>
    <row r="982" spans="1:9">
      <c r="A982" s="13" t="s">
        <v>1969</v>
      </c>
      <c r="B982" s="14" t="s">
        <v>1970</v>
      </c>
      <c r="C982" s="13">
        <v>0</v>
      </c>
      <c r="D982" s="7">
        <f>IFERROR(VLOOKUP(A982,'1227-29耗量'!$A$1:$C$602,3,FALSE),0)</f>
        <v>0</v>
      </c>
      <c r="E982" s="7">
        <f t="shared" si="30"/>
        <v>0</v>
      </c>
      <c r="F982" s="7" t="str">
        <f t="shared" si="31"/>
        <v>無資料</v>
      </c>
      <c r="G982" s="7" t="e">
        <f>VLOOKUP(A982,Sheet5!$A$2:$D$415,4,FALSE)</f>
        <v>#N/A</v>
      </c>
      <c r="H982" s="7" t="e">
        <f>VLOOKUP(A982,Sheet5!$A$2:$D$415,3,FALSE)</f>
        <v>#N/A</v>
      </c>
      <c r="I982" s="7" t="e">
        <f>VLOOKUP(A982,'1201-29周均耗用'!$A$1:$C$602,3,FALSE)</f>
        <v>#N/A</v>
      </c>
    </row>
    <row r="983" spans="1:9">
      <c r="A983" s="13" t="s">
        <v>1971</v>
      </c>
      <c r="B983" s="14" t="s">
        <v>1972</v>
      </c>
      <c r="C983" s="13">
        <v>0</v>
      </c>
      <c r="D983" s="7">
        <f>IFERROR(VLOOKUP(A983,'1227-29耗量'!$A$1:$C$602,3,FALSE),0)</f>
        <v>0</v>
      </c>
      <c r="E983" s="7">
        <f t="shared" si="30"/>
        <v>0</v>
      </c>
      <c r="F983" s="7" t="str">
        <f t="shared" si="31"/>
        <v>無資料</v>
      </c>
      <c r="G983" s="7" t="e">
        <f>VLOOKUP(A983,Sheet5!$A$2:$D$415,4,FALSE)</f>
        <v>#N/A</v>
      </c>
      <c r="H983" s="7" t="e">
        <f>VLOOKUP(A983,Sheet5!$A$2:$D$415,3,FALSE)</f>
        <v>#N/A</v>
      </c>
      <c r="I983" s="7" t="e">
        <f>VLOOKUP(A983,'1201-29周均耗用'!$A$1:$C$602,3,FALSE)</f>
        <v>#N/A</v>
      </c>
    </row>
    <row r="984" spans="1:9">
      <c r="A984" s="13" t="s">
        <v>1973</v>
      </c>
      <c r="B984" s="14" t="s">
        <v>1974</v>
      </c>
      <c r="C984" s="13">
        <v>6</v>
      </c>
      <c r="D984" s="7">
        <f>IFERROR(VLOOKUP(A984,'1227-29耗量'!$A$1:$C$602,3,FALSE),0)</f>
        <v>0</v>
      </c>
      <c r="E984" s="7">
        <f t="shared" si="30"/>
        <v>6</v>
      </c>
      <c r="F984" s="7" t="str">
        <f t="shared" si="31"/>
        <v>無資料</v>
      </c>
      <c r="G984" s="7" t="e">
        <f>VLOOKUP(A984,Sheet5!$A$2:$D$415,4,FALSE)</f>
        <v>#N/A</v>
      </c>
      <c r="H984" s="7" t="e">
        <f>VLOOKUP(A984,Sheet5!$A$2:$D$415,3,FALSE)</f>
        <v>#N/A</v>
      </c>
      <c r="I984" s="7" t="e">
        <f>VLOOKUP(A984,'1201-29周均耗用'!$A$1:$C$602,3,FALSE)</f>
        <v>#N/A</v>
      </c>
    </row>
    <row r="985" spans="1:9">
      <c r="A985" s="13" t="s">
        <v>1975</v>
      </c>
      <c r="B985" s="14" t="s">
        <v>1976</v>
      </c>
      <c r="C985" s="13">
        <v>0</v>
      </c>
      <c r="D985" s="7">
        <f>IFERROR(VLOOKUP(A985,'1227-29耗量'!$A$1:$C$602,3,FALSE),0)</f>
        <v>0</v>
      </c>
      <c r="E985" s="7">
        <f t="shared" si="30"/>
        <v>0</v>
      </c>
      <c r="F985" s="7" t="str">
        <f t="shared" si="31"/>
        <v>無資料</v>
      </c>
      <c r="G985" s="7" t="e">
        <f>VLOOKUP(A985,Sheet5!$A$2:$D$415,4,FALSE)</f>
        <v>#N/A</v>
      </c>
      <c r="H985" s="7" t="e">
        <f>VLOOKUP(A985,Sheet5!$A$2:$D$415,3,FALSE)</f>
        <v>#N/A</v>
      </c>
      <c r="I985" s="7" t="e">
        <f>VLOOKUP(A985,'1201-29周均耗用'!$A$1:$C$602,3,FALSE)</f>
        <v>#N/A</v>
      </c>
    </row>
    <row r="986" spans="1:9">
      <c r="A986" s="13" t="s">
        <v>1977</v>
      </c>
      <c r="B986" s="14" t="s">
        <v>1978</v>
      </c>
      <c r="C986" s="13">
        <v>0</v>
      </c>
      <c r="D986" s="7">
        <f>IFERROR(VLOOKUP(A986,'1227-29耗量'!$A$1:$C$602,3,FALSE),0)</f>
        <v>0</v>
      </c>
      <c r="E986" s="7">
        <f t="shared" si="30"/>
        <v>0</v>
      </c>
      <c r="F986" s="7" t="str">
        <f t="shared" si="31"/>
        <v>無資料</v>
      </c>
      <c r="G986" s="7" t="e">
        <f>VLOOKUP(A986,Sheet5!$A$2:$D$415,4,FALSE)</f>
        <v>#N/A</v>
      </c>
      <c r="H986" s="7" t="e">
        <f>VLOOKUP(A986,Sheet5!$A$2:$D$415,3,FALSE)</f>
        <v>#N/A</v>
      </c>
      <c r="I986" s="7" t="e">
        <f>VLOOKUP(A986,'1201-29周均耗用'!$A$1:$C$602,3,FALSE)</f>
        <v>#N/A</v>
      </c>
    </row>
    <row r="987" spans="1:9">
      <c r="A987" s="13" t="s">
        <v>1979</v>
      </c>
      <c r="B987" s="14" t="s">
        <v>1980</v>
      </c>
      <c r="C987" s="13">
        <v>27</v>
      </c>
      <c r="D987" s="7">
        <f>IFERROR(VLOOKUP(A987,'1227-29耗量'!$A$1:$C$602,3,FALSE),0)</f>
        <v>0</v>
      </c>
      <c r="E987" s="7">
        <f t="shared" si="30"/>
        <v>27</v>
      </c>
      <c r="F987" s="7" t="str">
        <f t="shared" si="31"/>
        <v>無資料</v>
      </c>
      <c r="G987" s="7" t="e">
        <f>VLOOKUP(A987,Sheet5!$A$2:$D$415,4,FALSE)</f>
        <v>#N/A</v>
      </c>
      <c r="H987" s="7" t="e">
        <f>VLOOKUP(A987,Sheet5!$A$2:$D$415,3,FALSE)</f>
        <v>#N/A</v>
      </c>
      <c r="I987" s="7" t="e">
        <f>VLOOKUP(A987,'1201-29周均耗用'!$A$1:$C$602,3,FALSE)</f>
        <v>#N/A</v>
      </c>
    </row>
    <row r="988" spans="1:9">
      <c r="A988" s="13" t="s">
        <v>1981</v>
      </c>
      <c r="B988" s="14" t="s">
        <v>1982</v>
      </c>
      <c r="C988" s="13">
        <v>25</v>
      </c>
      <c r="D988" s="7">
        <f>IFERROR(VLOOKUP(A988,'1227-29耗量'!$A$1:$C$602,3,FALSE),0)</f>
        <v>0</v>
      </c>
      <c r="E988" s="7">
        <f t="shared" si="30"/>
        <v>25</v>
      </c>
      <c r="F988" s="7" t="str">
        <f t="shared" si="31"/>
        <v>無資料</v>
      </c>
      <c r="G988" s="7" t="e">
        <f>VLOOKUP(A988,Sheet5!$A$2:$D$415,4,FALSE)</f>
        <v>#N/A</v>
      </c>
      <c r="H988" s="7" t="e">
        <f>VLOOKUP(A988,Sheet5!$A$2:$D$415,3,FALSE)</f>
        <v>#N/A</v>
      </c>
      <c r="I988" s="7" t="e">
        <f>VLOOKUP(A988,'1201-29周均耗用'!$A$1:$C$602,3,FALSE)</f>
        <v>#N/A</v>
      </c>
    </row>
    <row r="989" spans="1:9">
      <c r="A989" s="13" t="s">
        <v>1983</v>
      </c>
      <c r="B989" s="14" t="s">
        <v>1984</v>
      </c>
      <c r="C989" s="13">
        <v>31</v>
      </c>
      <c r="D989" s="7">
        <f>IFERROR(VLOOKUP(A989,'1227-29耗量'!$A$1:$C$602,3,FALSE),0)</f>
        <v>0</v>
      </c>
      <c r="E989" s="7">
        <f t="shared" si="30"/>
        <v>31</v>
      </c>
      <c r="F989" s="7" t="str">
        <f t="shared" si="31"/>
        <v>無資料</v>
      </c>
      <c r="G989" s="7" t="e">
        <f>VLOOKUP(A989,Sheet5!$A$2:$D$415,4,FALSE)</f>
        <v>#N/A</v>
      </c>
      <c r="H989" s="7" t="e">
        <f>VLOOKUP(A989,Sheet5!$A$2:$D$415,3,FALSE)</f>
        <v>#N/A</v>
      </c>
      <c r="I989" s="7" t="e">
        <f>VLOOKUP(A989,'1201-29周均耗用'!$A$1:$C$602,3,FALSE)</f>
        <v>#N/A</v>
      </c>
    </row>
    <row r="990" spans="1:9">
      <c r="A990" s="13" t="s">
        <v>1985</v>
      </c>
      <c r="B990" s="14" t="s">
        <v>1986</v>
      </c>
      <c r="C990" s="13">
        <v>24</v>
      </c>
      <c r="D990" s="7">
        <f>IFERROR(VLOOKUP(A990,'1227-29耗量'!$A$1:$C$602,3,FALSE),0)</f>
        <v>0</v>
      </c>
      <c r="E990" s="7">
        <f t="shared" si="30"/>
        <v>24</v>
      </c>
      <c r="F990" s="7" t="str">
        <f t="shared" si="31"/>
        <v>無資料</v>
      </c>
      <c r="G990" s="7" t="e">
        <f>VLOOKUP(A990,Sheet5!$A$2:$D$415,4,FALSE)</f>
        <v>#N/A</v>
      </c>
      <c r="H990" s="7" t="e">
        <f>VLOOKUP(A990,Sheet5!$A$2:$D$415,3,FALSE)</f>
        <v>#N/A</v>
      </c>
      <c r="I990" s="7" t="e">
        <f>VLOOKUP(A990,'1201-29周均耗用'!$A$1:$C$602,3,FALSE)</f>
        <v>#N/A</v>
      </c>
    </row>
    <row r="991" spans="1:9">
      <c r="A991" s="13" t="s">
        <v>1987</v>
      </c>
      <c r="B991" s="14" t="s">
        <v>1988</v>
      </c>
      <c r="C991" s="13">
        <v>77</v>
      </c>
      <c r="D991" s="7">
        <f>IFERROR(VLOOKUP(A991,'1227-29耗量'!$A$1:$C$602,3,FALSE),0)</f>
        <v>2</v>
      </c>
      <c r="E991" s="7">
        <f t="shared" si="30"/>
        <v>75</v>
      </c>
      <c r="F991" s="7" t="str">
        <f t="shared" si="31"/>
        <v>無資料</v>
      </c>
      <c r="G991" s="7" t="e">
        <f>VLOOKUP(A991,Sheet5!$A$2:$D$415,4,FALSE)</f>
        <v>#N/A</v>
      </c>
      <c r="H991" s="7" t="e">
        <f>VLOOKUP(A991,Sheet5!$A$2:$D$415,3,FALSE)</f>
        <v>#N/A</v>
      </c>
      <c r="I991" s="7">
        <f>VLOOKUP(A991,'1201-29周均耗用'!$A$1:$C$602,3,FALSE)</f>
        <v>14.2</v>
      </c>
    </row>
    <row r="992" spans="1:9">
      <c r="A992" s="13" t="s">
        <v>1989</v>
      </c>
      <c r="B992" s="14" t="s">
        <v>1990</v>
      </c>
      <c r="C992" s="13">
        <v>460</v>
      </c>
      <c r="D992" s="7">
        <f>VLOOKUP(A992,'1227-29耗量'!$A$1:$C$602,3,FALSE)</f>
        <v>17</v>
      </c>
      <c r="E992" s="7">
        <f t="shared" si="30"/>
        <v>443</v>
      </c>
      <c r="F992" s="7" t="str">
        <f t="shared" si="31"/>
        <v>錯誤</v>
      </c>
      <c r="G992" s="7">
        <f>VLOOKUP(A992,Sheet5!$A$2:$D$415,4,FALSE)</f>
        <v>304</v>
      </c>
      <c r="H992" s="7">
        <f>VLOOKUP(A992,Sheet5!$A$2:$D$415,3,FALSE)</f>
        <v>1280</v>
      </c>
      <c r="I992" s="7">
        <f>VLOOKUP(A992,'1201-29周均耗用'!$A$1:$C$602,3,FALSE)</f>
        <v>342</v>
      </c>
    </row>
    <row r="993" spans="1:9">
      <c r="A993" s="13" t="s">
        <v>1991</v>
      </c>
      <c r="B993" s="14" t="s">
        <v>1992</v>
      </c>
      <c r="C993" s="13">
        <v>0</v>
      </c>
      <c r="D993" s="7">
        <f>IFERROR(VLOOKUP(A993,'1227-29耗量'!$A$1:$C$602,3,FALSE),0)</f>
        <v>0</v>
      </c>
      <c r="E993" s="7">
        <f t="shared" si="30"/>
        <v>0</v>
      </c>
      <c r="F993" s="7" t="str">
        <f t="shared" si="31"/>
        <v>無資料</v>
      </c>
      <c r="G993" s="7" t="e">
        <f>VLOOKUP(A993,Sheet5!$A$2:$D$415,4,FALSE)</f>
        <v>#N/A</v>
      </c>
      <c r="H993" s="7" t="e">
        <f>VLOOKUP(A993,Sheet5!$A$2:$D$415,3,FALSE)</f>
        <v>#N/A</v>
      </c>
      <c r="I993" s="7" t="e">
        <f>VLOOKUP(A993,'1201-29周均耗用'!$A$1:$C$602,3,FALSE)</f>
        <v>#N/A</v>
      </c>
    </row>
    <row r="994" spans="1:9">
      <c r="A994" s="13" t="s">
        <v>1993</v>
      </c>
      <c r="B994" s="14" t="s">
        <v>1994</v>
      </c>
      <c r="C994" s="13">
        <v>0</v>
      </c>
      <c r="D994" s="7">
        <f>IFERROR(VLOOKUP(A994,'1227-29耗量'!$A$1:$C$602,3,FALSE),0)</f>
        <v>0</v>
      </c>
      <c r="E994" s="7">
        <f t="shared" si="30"/>
        <v>0</v>
      </c>
      <c r="F994" s="7" t="str">
        <f t="shared" si="31"/>
        <v>無資料</v>
      </c>
      <c r="G994" s="7" t="e">
        <f>VLOOKUP(A994,Sheet5!$A$2:$D$415,4,FALSE)</f>
        <v>#N/A</v>
      </c>
      <c r="H994" s="7" t="e">
        <f>VLOOKUP(A994,Sheet5!$A$2:$D$415,3,FALSE)</f>
        <v>#N/A</v>
      </c>
      <c r="I994" s="7" t="e">
        <f>VLOOKUP(A994,'1201-29周均耗用'!$A$1:$C$602,3,FALSE)</f>
        <v>#N/A</v>
      </c>
    </row>
    <row r="995" spans="1:9">
      <c r="A995" s="13" t="s">
        <v>1995</v>
      </c>
      <c r="B995" s="14" t="s">
        <v>1996</v>
      </c>
      <c r="C995" s="13">
        <v>87</v>
      </c>
      <c r="D995" s="7">
        <f>IFERROR(VLOOKUP(A995,'1227-29耗量'!$A$1:$C$602,3,FALSE),0)</f>
        <v>0</v>
      </c>
      <c r="E995" s="7">
        <f t="shared" si="30"/>
        <v>87</v>
      </c>
      <c r="F995" s="7" t="str">
        <f t="shared" si="31"/>
        <v>無資料</v>
      </c>
      <c r="G995" s="7" t="e">
        <f>VLOOKUP(A995,Sheet5!$A$2:$D$415,4,FALSE)</f>
        <v>#N/A</v>
      </c>
      <c r="H995" s="7" t="e">
        <f>VLOOKUP(A995,Sheet5!$A$2:$D$415,3,FALSE)</f>
        <v>#N/A</v>
      </c>
      <c r="I995" s="7">
        <f>VLOOKUP(A995,'1201-29周均耗用'!$A$1:$C$602,3,FALSE)</f>
        <v>4.5</v>
      </c>
    </row>
    <row r="996" spans="1:9">
      <c r="A996" s="13" t="s">
        <v>1997</v>
      </c>
      <c r="B996" s="14" t="s">
        <v>1998</v>
      </c>
      <c r="C996" s="13">
        <v>854</v>
      </c>
      <c r="D996" s="7">
        <f>IFERROR(VLOOKUP(A996,'1227-29耗量'!$A$1:$C$602,3,FALSE),0)</f>
        <v>23</v>
      </c>
      <c r="E996" s="7">
        <f t="shared" si="30"/>
        <v>831</v>
      </c>
      <c r="F996" s="7" t="str">
        <f t="shared" si="31"/>
        <v>無資料</v>
      </c>
      <c r="G996" s="7" t="e">
        <f>VLOOKUP(A996,Sheet5!$A$2:$D$415,4,FALSE)</f>
        <v>#N/A</v>
      </c>
      <c r="H996" s="7" t="e">
        <f>VLOOKUP(A996,Sheet5!$A$2:$D$415,3,FALSE)</f>
        <v>#N/A</v>
      </c>
      <c r="I996" s="7" t="e">
        <f>VLOOKUP(A996,'1201-29周均耗用'!$A$1:$C$602,3,FALSE)</f>
        <v>#N/A</v>
      </c>
    </row>
    <row r="997" spans="1:9">
      <c r="A997" s="13" t="s">
        <v>1999</v>
      </c>
      <c r="B997" s="14" t="s">
        <v>2000</v>
      </c>
      <c r="C997" s="13">
        <v>375</v>
      </c>
      <c r="D997" s="7">
        <f>IFERROR(VLOOKUP(A997,'1227-29耗量'!$A$1:$C$602,3,FALSE),0)</f>
        <v>16</v>
      </c>
      <c r="E997" s="7">
        <f t="shared" si="30"/>
        <v>359</v>
      </c>
      <c r="F997" s="7" t="str">
        <f t="shared" si="31"/>
        <v>無資料</v>
      </c>
      <c r="G997" s="7" t="e">
        <f>VLOOKUP(A997,Sheet5!$A$2:$D$415,4,FALSE)</f>
        <v>#N/A</v>
      </c>
      <c r="H997" s="7" t="e">
        <f>VLOOKUP(A997,Sheet5!$A$2:$D$415,3,FALSE)</f>
        <v>#N/A</v>
      </c>
      <c r="I997" s="7">
        <f>VLOOKUP(A997,'1201-29周均耗用'!$A$1:$C$602,3,FALSE)</f>
        <v>64</v>
      </c>
    </row>
    <row r="998" spans="1:9">
      <c r="A998" s="13" t="s">
        <v>2001</v>
      </c>
      <c r="B998" s="14" t="s">
        <v>2002</v>
      </c>
      <c r="C998" s="13">
        <v>1482</v>
      </c>
      <c r="D998" s="7">
        <f>VLOOKUP(A998,'1227-29耗量'!$A$1:$C$602,3,FALSE)</f>
        <v>105</v>
      </c>
      <c r="E998" s="7">
        <f t="shared" si="30"/>
        <v>1377</v>
      </c>
      <c r="F998" s="7" t="str">
        <f t="shared" si="31"/>
        <v>錯誤</v>
      </c>
      <c r="G998" s="7">
        <f>VLOOKUP(A998,Sheet5!$A$2:$D$415,4,FALSE)</f>
        <v>797</v>
      </c>
      <c r="H998" s="7">
        <f>VLOOKUP(A998,Sheet5!$A$2:$D$415,3,FALSE)</f>
        <v>1000</v>
      </c>
      <c r="I998" s="7" t="e">
        <f>VLOOKUP(A998,'1201-29周均耗用'!$A$1:$C$602,3,FALSE)</f>
        <v>#N/A</v>
      </c>
    </row>
    <row r="999" spans="1:9">
      <c r="A999" s="13" t="s">
        <v>2003</v>
      </c>
      <c r="B999" s="14" t="s">
        <v>2004</v>
      </c>
      <c r="C999" s="13">
        <v>2168</v>
      </c>
      <c r="D999" s="7">
        <f>VLOOKUP(A999,'1227-29耗量'!$A$1:$C$602,3,FALSE)</f>
        <v>30</v>
      </c>
      <c r="E999" s="7">
        <f t="shared" si="30"/>
        <v>2138</v>
      </c>
      <c r="F999" s="7" t="str">
        <f t="shared" si="31"/>
        <v>錯誤</v>
      </c>
      <c r="G999" s="7">
        <f>VLOOKUP(A999,Sheet5!$A$2:$D$415,4,FALSE)</f>
        <v>1272</v>
      </c>
      <c r="H999" s="7">
        <f>VLOOKUP(A999,Sheet5!$A$2:$D$415,3,FALSE)</f>
        <v>2000</v>
      </c>
      <c r="I999" s="7" t="e">
        <f>VLOOKUP(A999,'1201-29周均耗用'!$A$1:$C$602,3,FALSE)</f>
        <v>#N/A</v>
      </c>
    </row>
    <row r="1000" spans="1:9">
      <c r="A1000" s="13" t="s">
        <v>2005</v>
      </c>
      <c r="B1000" s="14" t="s">
        <v>2006</v>
      </c>
      <c r="C1000" s="13">
        <v>74</v>
      </c>
      <c r="D1000" s="7">
        <f>IFERROR(VLOOKUP(A1000,'1227-29耗量'!$A$1:$C$602,3,FALSE),0)</f>
        <v>9</v>
      </c>
      <c r="E1000" s="7">
        <f t="shared" si="30"/>
        <v>65</v>
      </c>
      <c r="F1000" s="7" t="str">
        <f t="shared" si="31"/>
        <v>無資料</v>
      </c>
      <c r="G1000" s="7" t="e">
        <f>VLOOKUP(A1000,Sheet5!$A$2:$D$415,4,FALSE)</f>
        <v>#N/A</v>
      </c>
      <c r="H1000" s="7" t="e">
        <f>VLOOKUP(A1000,Sheet5!$A$2:$D$415,3,FALSE)</f>
        <v>#N/A</v>
      </c>
      <c r="I1000" s="7">
        <f>VLOOKUP(A1000,'1201-29周均耗用'!$A$1:$C$602,3,FALSE)</f>
        <v>40.5</v>
      </c>
    </row>
    <row r="1001" spans="1:9">
      <c r="A1001" s="13" t="s">
        <v>2007</v>
      </c>
      <c r="B1001" s="14" t="s">
        <v>2008</v>
      </c>
      <c r="C1001" s="13">
        <v>70</v>
      </c>
      <c r="D1001" s="7">
        <f>IFERROR(VLOOKUP(A1001,'1227-29耗量'!$A$1:$C$602,3,FALSE),0)</f>
        <v>0</v>
      </c>
      <c r="E1001" s="7">
        <f t="shared" si="30"/>
        <v>70</v>
      </c>
      <c r="F1001" s="7" t="str">
        <f t="shared" si="31"/>
        <v>無資料</v>
      </c>
      <c r="G1001" s="7" t="e">
        <f>VLOOKUP(A1001,Sheet5!$A$2:$D$415,4,FALSE)</f>
        <v>#N/A</v>
      </c>
      <c r="H1001" s="7" t="e">
        <f>VLOOKUP(A1001,Sheet5!$A$2:$D$415,3,FALSE)</f>
        <v>#N/A</v>
      </c>
      <c r="I1001" s="7" t="e">
        <f>VLOOKUP(A1001,'1201-29周均耗用'!$A$1:$C$602,3,FALSE)</f>
        <v>#N/A</v>
      </c>
    </row>
    <row r="1002" spans="1:9">
      <c r="A1002" s="13" t="s">
        <v>2009</v>
      </c>
      <c r="B1002" s="14" t="s">
        <v>2010</v>
      </c>
      <c r="C1002" s="13">
        <v>89</v>
      </c>
      <c r="D1002" s="7">
        <f>IFERROR(VLOOKUP(A1002,'1227-29耗量'!$A$1:$C$602,3,FALSE),0)</f>
        <v>7</v>
      </c>
      <c r="E1002" s="7">
        <f t="shared" si="30"/>
        <v>82</v>
      </c>
      <c r="F1002" s="7" t="str">
        <f t="shared" si="31"/>
        <v>無資料</v>
      </c>
      <c r="G1002" s="7" t="e">
        <f>VLOOKUP(A1002,Sheet5!$A$2:$D$415,4,FALSE)</f>
        <v>#N/A</v>
      </c>
      <c r="H1002" s="7" t="e">
        <f>VLOOKUP(A1002,Sheet5!$A$2:$D$415,3,FALSE)</f>
        <v>#N/A</v>
      </c>
      <c r="I1002" s="7">
        <f>VLOOKUP(A1002,'1201-29周均耗用'!$A$1:$C$602,3,FALSE)</f>
        <v>55.2</v>
      </c>
    </row>
    <row r="1003" spans="1:9">
      <c r="A1003" s="13" t="s">
        <v>2011</v>
      </c>
      <c r="B1003" s="14" t="s">
        <v>2012</v>
      </c>
      <c r="C1003" s="13">
        <v>663</v>
      </c>
      <c r="D1003" s="7">
        <f>IFERROR(VLOOKUP(A1003,'1227-29耗量'!$A$1:$C$602,3,FALSE),0)</f>
        <v>0</v>
      </c>
      <c r="E1003" s="7">
        <f t="shared" si="30"/>
        <v>663</v>
      </c>
      <c r="F1003" s="7" t="str">
        <f t="shared" si="31"/>
        <v>無資料</v>
      </c>
      <c r="G1003" s="7" t="e">
        <f>VLOOKUP(A1003,Sheet5!$A$2:$D$415,4,FALSE)</f>
        <v>#N/A</v>
      </c>
      <c r="H1003" s="7" t="e">
        <f>VLOOKUP(A1003,Sheet5!$A$2:$D$415,3,FALSE)</f>
        <v>#N/A</v>
      </c>
      <c r="I1003" s="7" t="e">
        <f>VLOOKUP(A1003,'1201-29周均耗用'!$A$1:$C$602,3,FALSE)</f>
        <v>#N/A</v>
      </c>
    </row>
    <row r="1004" spans="1:9">
      <c r="A1004" s="13" t="s">
        <v>2013</v>
      </c>
      <c r="B1004" s="14" t="s">
        <v>2014</v>
      </c>
      <c r="C1004" s="13">
        <v>13</v>
      </c>
      <c r="D1004" s="7">
        <f>VLOOKUP(A1004,'1227-29耗量'!$A$1:$C$602,3,FALSE)</f>
        <v>3</v>
      </c>
      <c r="E1004" s="7">
        <f t="shared" si="30"/>
        <v>10</v>
      </c>
      <c r="F1004" s="7" t="str">
        <f t="shared" si="31"/>
        <v>錯誤</v>
      </c>
      <c r="G1004" s="7">
        <f>VLOOKUP(A1004,Sheet5!$A$2:$D$415,4,FALSE)</f>
        <v>4</v>
      </c>
      <c r="H1004" s="7">
        <f>VLOOKUP(A1004,Sheet5!$A$2:$D$415,3,FALSE)</f>
        <v>30</v>
      </c>
      <c r="I1004" s="7" t="e">
        <f>VLOOKUP(A1004,'1201-29周均耗用'!$A$1:$C$602,3,FALSE)</f>
        <v>#N/A</v>
      </c>
    </row>
    <row r="1005" spans="1:9">
      <c r="A1005" s="13" t="s">
        <v>2015</v>
      </c>
      <c r="B1005" s="14" t="s">
        <v>2016</v>
      </c>
      <c r="C1005" s="13">
        <v>661</v>
      </c>
      <c r="D1005" s="7">
        <f>IFERROR(VLOOKUP(A1005,'1227-29耗量'!$A$1:$C$602,3,FALSE),0)</f>
        <v>5</v>
      </c>
      <c r="E1005" s="7">
        <f t="shared" si="30"/>
        <v>656</v>
      </c>
      <c r="F1005" s="7" t="str">
        <f t="shared" si="31"/>
        <v>無資料</v>
      </c>
      <c r="G1005" s="7" t="e">
        <f>VLOOKUP(A1005,Sheet5!$A$2:$D$415,4,FALSE)</f>
        <v>#N/A</v>
      </c>
      <c r="H1005" s="7" t="e">
        <f>VLOOKUP(A1005,Sheet5!$A$2:$D$415,3,FALSE)</f>
        <v>#N/A</v>
      </c>
      <c r="I1005" s="7" t="e">
        <f>VLOOKUP(A1005,'1201-29周均耗用'!$A$1:$C$602,3,FALSE)</f>
        <v>#N/A</v>
      </c>
    </row>
    <row r="1006" spans="1:9">
      <c r="A1006" s="13" t="s">
        <v>2017</v>
      </c>
      <c r="B1006" s="14" t="s">
        <v>2018</v>
      </c>
      <c r="C1006" s="13">
        <v>22</v>
      </c>
      <c r="D1006" s="7">
        <f>VLOOKUP(A1006,'1227-29耗量'!$A$1:$C$602,3,FALSE)</f>
        <v>6</v>
      </c>
      <c r="E1006" s="7">
        <f t="shared" si="30"/>
        <v>16</v>
      </c>
      <c r="F1006" s="7" t="str">
        <f t="shared" si="31"/>
        <v>錯誤</v>
      </c>
      <c r="G1006" s="7">
        <f>VLOOKUP(A1006,Sheet5!$A$2:$D$415,4,FALSE)</f>
        <v>2</v>
      </c>
      <c r="H1006" s="7">
        <f>VLOOKUP(A1006,Sheet5!$A$2:$D$415,3,FALSE)</f>
        <v>145</v>
      </c>
      <c r="I1006" s="7">
        <f>VLOOKUP(A1006,'1201-29周均耗用'!$A$1:$C$602,3,FALSE)</f>
        <v>44.5</v>
      </c>
    </row>
    <row r="1007" spans="1:9">
      <c r="A1007" s="13" t="s">
        <v>2019</v>
      </c>
      <c r="B1007" s="14" t="s">
        <v>2020</v>
      </c>
      <c r="C1007" s="13">
        <v>0</v>
      </c>
      <c r="D1007" s="7">
        <f>IFERROR(VLOOKUP(A1007,'1227-29耗量'!$A$1:$C$602,3,FALSE),0)</f>
        <v>0</v>
      </c>
      <c r="E1007" s="7">
        <f t="shared" si="30"/>
        <v>0</v>
      </c>
      <c r="F1007" s="7" t="str">
        <f t="shared" si="31"/>
        <v>無資料</v>
      </c>
      <c r="G1007" s="7" t="e">
        <f>VLOOKUP(A1007,Sheet5!$A$2:$D$415,4,FALSE)</f>
        <v>#N/A</v>
      </c>
      <c r="H1007" s="7" t="e">
        <f>VLOOKUP(A1007,Sheet5!$A$2:$D$415,3,FALSE)</f>
        <v>#N/A</v>
      </c>
      <c r="I1007" s="7" t="e">
        <f>VLOOKUP(A1007,'1201-29周均耗用'!$A$1:$C$602,3,FALSE)</f>
        <v>#N/A</v>
      </c>
    </row>
    <row r="1008" spans="1:9">
      <c r="A1008" s="13" t="s">
        <v>2021</v>
      </c>
      <c r="B1008" s="14" t="s">
        <v>2022</v>
      </c>
      <c r="C1008" s="13">
        <v>0</v>
      </c>
      <c r="D1008" s="7">
        <f>IFERROR(VLOOKUP(A1008,'1227-29耗量'!$A$1:$C$602,3,FALSE),0)</f>
        <v>0</v>
      </c>
      <c r="E1008" s="7">
        <f t="shared" si="30"/>
        <v>0</v>
      </c>
      <c r="F1008" s="7" t="str">
        <f t="shared" si="31"/>
        <v>無資料</v>
      </c>
      <c r="G1008" s="7" t="e">
        <f>VLOOKUP(A1008,Sheet5!$A$2:$D$415,4,FALSE)</f>
        <v>#N/A</v>
      </c>
      <c r="H1008" s="7" t="e">
        <f>VLOOKUP(A1008,Sheet5!$A$2:$D$415,3,FALSE)</f>
        <v>#N/A</v>
      </c>
      <c r="I1008" s="7" t="e">
        <f>VLOOKUP(A1008,'1201-29周均耗用'!$A$1:$C$602,3,FALSE)</f>
        <v>#N/A</v>
      </c>
    </row>
    <row r="1009" spans="1:9">
      <c r="A1009" s="13" t="s">
        <v>2023</v>
      </c>
      <c r="B1009" s="14" t="s">
        <v>2024</v>
      </c>
      <c r="C1009" s="13">
        <v>366</v>
      </c>
      <c r="D1009" s="7">
        <f>VLOOKUP(A1009,'1227-29耗量'!$A$1:$C$602,3,FALSE)</f>
        <v>24</v>
      </c>
      <c r="E1009" s="7">
        <f t="shared" si="30"/>
        <v>342</v>
      </c>
      <c r="F1009" s="7" t="str">
        <f t="shared" si="31"/>
        <v>錯誤</v>
      </c>
      <c r="G1009" s="7">
        <f>VLOOKUP(A1009,Sheet5!$A$2:$D$415,4,FALSE)</f>
        <v>188</v>
      </c>
      <c r="H1009" s="7">
        <f>VLOOKUP(A1009,Sheet5!$A$2:$D$415,3,FALSE)</f>
        <v>600</v>
      </c>
      <c r="I1009" s="7" t="e">
        <f>VLOOKUP(A1009,'1201-29周均耗用'!$A$1:$C$602,3,FALSE)</f>
        <v>#N/A</v>
      </c>
    </row>
    <row r="1010" spans="1:9">
      <c r="A1010" s="13" t="s">
        <v>2025</v>
      </c>
      <c r="B1010" s="14" t="s">
        <v>2026</v>
      </c>
      <c r="C1010" s="13">
        <v>57</v>
      </c>
      <c r="D1010" s="7">
        <f>IFERROR(VLOOKUP(A1010,'1227-29耗量'!$A$1:$C$602,3,FALSE),0)</f>
        <v>0</v>
      </c>
      <c r="E1010" s="7">
        <f t="shared" si="30"/>
        <v>57</v>
      </c>
      <c r="F1010" s="7" t="str">
        <f t="shared" si="31"/>
        <v>無資料</v>
      </c>
      <c r="G1010" s="7" t="e">
        <f>VLOOKUP(A1010,Sheet5!$A$2:$D$415,4,FALSE)</f>
        <v>#N/A</v>
      </c>
      <c r="H1010" s="7" t="e">
        <f>VLOOKUP(A1010,Sheet5!$A$2:$D$415,3,FALSE)</f>
        <v>#N/A</v>
      </c>
      <c r="I1010" s="7" t="e">
        <f>VLOOKUP(A1010,'1201-29周均耗用'!$A$1:$C$602,3,FALSE)</f>
        <v>#N/A</v>
      </c>
    </row>
    <row r="1011" spans="1:9">
      <c r="A1011" s="13" t="s">
        <v>2027</v>
      </c>
      <c r="B1011" s="14" t="s">
        <v>2028</v>
      </c>
      <c r="C1011" s="13">
        <v>67</v>
      </c>
      <c r="D1011" s="7">
        <f>IFERROR(VLOOKUP(A1011,'1227-29耗量'!$A$1:$C$602,3,FALSE),0)</f>
        <v>4</v>
      </c>
      <c r="E1011" s="7">
        <f t="shared" si="30"/>
        <v>63</v>
      </c>
      <c r="F1011" s="7" t="str">
        <f t="shared" si="31"/>
        <v>無資料</v>
      </c>
      <c r="G1011" s="7" t="e">
        <f>VLOOKUP(A1011,Sheet5!$A$2:$D$415,4,FALSE)</f>
        <v>#N/A</v>
      </c>
      <c r="H1011" s="7" t="e">
        <f>VLOOKUP(A1011,Sheet5!$A$2:$D$415,3,FALSE)</f>
        <v>#N/A</v>
      </c>
      <c r="I1011" s="7" t="e">
        <f>VLOOKUP(A1011,'1201-29周均耗用'!$A$1:$C$602,3,FALSE)</f>
        <v>#N/A</v>
      </c>
    </row>
    <row r="1012" spans="1:9">
      <c r="A1012" s="13" t="s">
        <v>2029</v>
      </c>
      <c r="B1012" s="14" t="s">
        <v>2030</v>
      </c>
      <c r="C1012" s="13">
        <v>2372</v>
      </c>
      <c r="D1012" s="7">
        <f>IFERROR(VLOOKUP(A1012,'1227-29耗量'!$A$1:$C$602,3,FALSE),0)</f>
        <v>54</v>
      </c>
      <c r="E1012" s="7">
        <f t="shared" si="30"/>
        <v>2318</v>
      </c>
      <c r="F1012" s="7" t="str">
        <f t="shared" si="31"/>
        <v>無資料</v>
      </c>
      <c r="G1012" s="7" t="e">
        <f>VLOOKUP(A1012,Sheet5!$A$2:$D$415,4,FALSE)</f>
        <v>#N/A</v>
      </c>
      <c r="H1012" s="7" t="e">
        <f>VLOOKUP(A1012,Sheet5!$A$2:$D$415,3,FALSE)</f>
        <v>#N/A</v>
      </c>
      <c r="I1012" s="7" t="e">
        <f>VLOOKUP(A1012,'1201-29周均耗用'!$A$1:$C$602,3,FALSE)</f>
        <v>#N/A</v>
      </c>
    </row>
    <row r="1013" spans="1:9">
      <c r="A1013" s="13" t="s">
        <v>2031</v>
      </c>
      <c r="B1013" s="14" t="s">
        <v>2032</v>
      </c>
      <c r="C1013" s="13">
        <v>875</v>
      </c>
      <c r="D1013" s="7">
        <f>IFERROR(VLOOKUP(A1013,'1227-29耗量'!$A$1:$C$602,3,FALSE),0)</f>
        <v>8</v>
      </c>
      <c r="E1013" s="7">
        <f t="shared" si="30"/>
        <v>867</v>
      </c>
      <c r="F1013" s="7" t="str">
        <f t="shared" si="31"/>
        <v>無資料</v>
      </c>
      <c r="G1013" s="7" t="e">
        <f>VLOOKUP(A1013,Sheet5!$A$2:$D$415,4,FALSE)</f>
        <v>#N/A</v>
      </c>
      <c r="H1013" s="7" t="e">
        <f>VLOOKUP(A1013,Sheet5!$A$2:$D$415,3,FALSE)</f>
        <v>#N/A</v>
      </c>
      <c r="I1013" s="7" t="e">
        <f>VLOOKUP(A1013,'1201-29周均耗用'!$A$1:$C$602,3,FALSE)</f>
        <v>#N/A</v>
      </c>
    </row>
    <row r="1014" spans="1:9">
      <c r="A1014" s="13" t="s">
        <v>2033</v>
      </c>
      <c r="B1014" s="14" t="s">
        <v>2034</v>
      </c>
      <c r="C1014" s="13">
        <v>4</v>
      </c>
      <c r="D1014" s="7">
        <f>IFERROR(VLOOKUP(A1014,'1227-29耗量'!$A$1:$C$602,3,FALSE),0)</f>
        <v>0</v>
      </c>
      <c r="E1014" s="7">
        <f t="shared" si="30"/>
        <v>4</v>
      </c>
      <c r="F1014" s="7" t="str">
        <f t="shared" si="31"/>
        <v>錯誤</v>
      </c>
      <c r="G1014" s="7">
        <f>VLOOKUP(A1014,Sheet5!$A$2:$D$415,4,FALSE)</f>
        <v>2</v>
      </c>
      <c r="H1014" s="7">
        <f>VLOOKUP(A1014,Sheet5!$A$2:$D$415,3,FALSE)</f>
        <v>4</v>
      </c>
      <c r="I1014" s="7" t="e">
        <f>VLOOKUP(A1014,'1201-29周均耗用'!$A$1:$C$602,3,FALSE)</f>
        <v>#N/A</v>
      </c>
    </row>
    <row r="1015" spans="1:9">
      <c r="A1015" s="13" t="s">
        <v>2035</v>
      </c>
      <c r="B1015" s="14" t="s">
        <v>2036</v>
      </c>
      <c r="C1015" s="13">
        <v>357</v>
      </c>
      <c r="D1015" s="7">
        <f>VLOOKUP(A1015,'1227-29耗量'!$A$1:$C$602,3,FALSE)</f>
        <v>8</v>
      </c>
      <c r="E1015" s="7">
        <f t="shared" si="30"/>
        <v>349</v>
      </c>
      <c r="F1015" s="7" t="str">
        <f t="shared" si="31"/>
        <v>錯誤</v>
      </c>
      <c r="G1015" s="7">
        <f>VLOOKUP(A1015,Sheet5!$A$2:$D$415,4,FALSE)</f>
        <v>220</v>
      </c>
      <c r="H1015" s="7">
        <f>VLOOKUP(A1015,Sheet5!$A$2:$D$415,3,FALSE)</f>
        <v>360</v>
      </c>
      <c r="I1015" s="7" t="e">
        <f>VLOOKUP(A1015,'1201-29周均耗用'!$A$1:$C$602,3,FALSE)</f>
        <v>#N/A</v>
      </c>
    </row>
    <row r="1016" spans="1:9">
      <c r="A1016" s="13" t="s">
        <v>2037</v>
      </c>
      <c r="B1016" s="14" t="s">
        <v>2038</v>
      </c>
      <c r="C1016" s="13">
        <v>0</v>
      </c>
      <c r="D1016" s="7">
        <f>IFERROR(VLOOKUP(A1016,'1227-29耗量'!$A$1:$C$602,3,FALSE),0)</f>
        <v>0</v>
      </c>
      <c r="E1016" s="7">
        <f t="shared" si="30"/>
        <v>0</v>
      </c>
      <c r="F1016" s="7" t="str">
        <f t="shared" si="31"/>
        <v>無資料</v>
      </c>
      <c r="G1016" s="7" t="e">
        <f>VLOOKUP(A1016,Sheet5!$A$2:$D$415,4,FALSE)</f>
        <v>#N/A</v>
      </c>
      <c r="H1016" s="7" t="e">
        <f>VLOOKUP(A1016,Sheet5!$A$2:$D$415,3,FALSE)</f>
        <v>#N/A</v>
      </c>
      <c r="I1016" s="7" t="e">
        <f>VLOOKUP(A1016,'1201-29周均耗用'!$A$1:$C$602,3,FALSE)</f>
        <v>#N/A</v>
      </c>
    </row>
    <row r="1017" spans="1:9">
      <c r="A1017" s="13" t="s">
        <v>2039</v>
      </c>
      <c r="B1017" s="14" t="s">
        <v>2040</v>
      </c>
      <c r="C1017" s="13">
        <v>445</v>
      </c>
      <c r="D1017" s="7">
        <f>IFERROR(VLOOKUP(A1017,'1227-29耗量'!$A$1:$C$602,3,FALSE),0)</f>
        <v>0</v>
      </c>
      <c r="E1017" s="7">
        <f t="shared" si="30"/>
        <v>445</v>
      </c>
      <c r="F1017" s="7" t="str">
        <f t="shared" si="31"/>
        <v>無資料</v>
      </c>
      <c r="G1017" s="7" t="e">
        <f>VLOOKUP(A1017,Sheet5!$A$2:$D$415,4,FALSE)</f>
        <v>#N/A</v>
      </c>
      <c r="H1017" s="7" t="e">
        <f>VLOOKUP(A1017,Sheet5!$A$2:$D$415,3,FALSE)</f>
        <v>#N/A</v>
      </c>
      <c r="I1017" s="7" t="e">
        <f>VLOOKUP(A1017,'1201-29周均耗用'!$A$1:$C$602,3,FALSE)</f>
        <v>#N/A</v>
      </c>
    </row>
    <row r="1018" spans="1:9">
      <c r="A1018" s="13" t="s">
        <v>2041</v>
      </c>
      <c r="B1018" s="14" t="s">
        <v>2042</v>
      </c>
      <c r="C1018" s="13">
        <v>127</v>
      </c>
      <c r="D1018" s="7">
        <f>VLOOKUP(A1018,'1227-29耗量'!$A$1:$C$602,3,FALSE)</f>
        <v>7</v>
      </c>
      <c r="E1018" s="7">
        <f t="shared" si="30"/>
        <v>120</v>
      </c>
      <c r="F1018" s="7" t="str">
        <f t="shared" si="31"/>
        <v>錯誤</v>
      </c>
      <c r="G1018" s="7">
        <f>VLOOKUP(A1018,Sheet5!$A$2:$D$415,4,FALSE)</f>
        <v>85</v>
      </c>
      <c r="H1018" s="7">
        <f>VLOOKUP(A1018,Sheet5!$A$2:$D$415,3,FALSE)</f>
        <v>100</v>
      </c>
      <c r="I1018" s="7">
        <f>VLOOKUP(A1018,'1201-29周均耗用'!$A$1:$C$602,3,FALSE)</f>
        <v>42.8</v>
      </c>
    </row>
    <row r="1019" spans="1:9">
      <c r="A1019" s="13" t="s">
        <v>2043</v>
      </c>
      <c r="B1019" s="14" t="s">
        <v>2044</v>
      </c>
      <c r="C1019" s="13">
        <v>48</v>
      </c>
      <c r="D1019" s="7">
        <f>VLOOKUP(A1019,'1227-29耗量'!$A$1:$C$602,3,FALSE)</f>
        <v>4</v>
      </c>
      <c r="E1019" s="7">
        <f t="shared" si="30"/>
        <v>44</v>
      </c>
      <c r="F1019" s="7" t="str">
        <f t="shared" si="31"/>
        <v>錯誤</v>
      </c>
      <c r="G1019" s="7">
        <f>VLOOKUP(A1019,Sheet5!$A$2:$D$415,4,FALSE)</f>
        <v>18</v>
      </c>
      <c r="H1019" s="7">
        <f>VLOOKUP(A1019,Sheet5!$A$2:$D$415,3,FALSE)</f>
        <v>20</v>
      </c>
      <c r="I1019" s="7" t="e">
        <f>VLOOKUP(A1019,'1201-29周均耗用'!$A$1:$C$602,3,FALSE)</f>
        <v>#N/A</v>
      </c>
    </row>
    <row r="1020" spans="1:9">
      <c r="A1020" s="13" t="s">
        <v>2045</v>
      </c>
      <c r="B1020" s="14" t="s">
        <v>2046</v>
      </c>
      <c r="C1020" s="13">
        <v>179</v>
      </c>
      <c r="D1020" s="7">
        <f>IFERROR(VLOOKUP(A1020,'1227-29耗量'!$A$1:$C$602,3,FALSE),0)</f>
        <v>0</v>
      </c>
      <c r="E1020" s="7">
        <f t="shared" si="30"/>
        <v>179</v>
      </c>
      <c r="F1020" s="7" t="str">
        <f t="shared" si="31"/>
        <v>無資料</v>
      </c>
      <c r="G1020" s="7" t="e">
        <f>VLOOKUP(A1020,Sheet5!$A$2:$D$415,4,FALSE)</f>
        <v>#N/A</v>
      </c>
      <c r="H1020" s="7" t="e">
        <f>VLOOKUP(A1020,Sheet5!$A$2:$D$415,3,FALSE)</f>
        <v>#N/A</v>
      </c>
      <c r="I1020" s="7">
        <f>VLOOKUP(A1020,'1201-29周均耗用'!$A$1:$C$602,3,FALSE)</f>
        <v>4</v>
      </c>
    </row>
    <row r="1021" spans="1:9">
      <c r="A1021" s="13" t="s">
        <v>2047</v>
      </c>
      <c r="B1021" s="14" t="s">
        <v>2048</v>
      </c>
      <c r="C1021" s="13">
        <v>0</v>
      </c>
      <c r="D1021" s="7">
        <f>IFERROR(VLOOKUP(A1021,'1227-29耗量'!$A$1:$C$602,3,FALSE),0)</f>
        <v>0</v>
      </c>
      <c r="E1021" s="7">
        <f t="shared" si="30"/>
        <v>0</v>
      </c>
      <c r="F1021" s="7" t="str">
        <f t="shared" si="31"/>
        <v>無資料</v>
      </c>
      <c r="G1021" s="7" t="e">
        <f>VLOOKUP(A1021,Sheet5!$A$2:$D$415,4,FALSE)</f>
        <v>#N/A</v>
      </c>
      <c r="H1021" s="7" t="e">
        <f>VLOOKUP(A1021,Sheet5!$A$2:$D$415,3,FALSE)</f>
        <v>#N/A</v>
      </c>
      <c r="I1021" s="7" t="e">
        <f>VLOOKUP(A1021,'1201-29周均耗用'!$A$1:$C$602,3,FALSE)</f>
        <v>#N/A</v>
      </c>
    </row>
    <row r="1022" spans="1:9">
      <c r="A1022" s="13" t="s">
        <v>2049</v>
      </c>
      <c r="B1022" s="14" t="s">
        <v>2050</v>
      </c>
      <c r="C1022" s="13">
        <v>521</v>
      </c>
      <c r="D1022" s="7">
        <f>VLOOKUP(A1022,'1227-29耗量'!$A$1:$C$602,3,FALSE)</f>
        <v>58</v>
      </c>
      <c r="E1022" s="7">
        <f t="shared" si="30"/>
        <v>463</v>
      </c>
      <c r="F1022" s="7" t="str">
        <f t="shared" si="31"/>
        <v>錯誤</v>
      </c>
      <c r="G1022" s="7">
        <f>VLOOKUP(A1022,Sheet5!$A$2:$D$415,4,FALSE)</f>
        <v>446</v>
      </c>
      <c r="H1022" s="7">
        <f>VLOOKUP(A1022,Sheet5!$A$2:$D$415,3,FALSE)</f>
        <v>1344</v>
      </c>
      <c r="I1022" s="7" t="e">
        <f>VLOOKUP(A1022,'1201-29周均耗用'!$A$1:$C$602,3,FALSE)</f>
        <v>#N/A</v>
      </c>
    </row>
    <row r="1023" spans="1:9">
      <c r="A1023" s="13" t="s">
        <v>2051</v>
      </c>
      <c r="B1023" s="14" t="s">
        <v>2052</v>
      </c>
      <c r="C1023" s="13">
        <v>3</v>
      </c>
      <c r="D1023" s="7">
        <f>IFERROR(VLOOKUP(A1023,'1227-29耗量'!$A$1:$C$602,3,FALSE),0)</f>
        <v>0</v>
      </c>
      <c r="E1023" s="7">
        <f t="shared" si="30"/>
        <v>3</v>
      </c>
      <c r="F1023" s="7" t="str">
        <f t="shared" si="31"/>
        <v>無資料</v>
      </c>
      <c r="G1023" s="7" t="e">
        <f>VLOOKUP(A1023,Sheet5!$A$2:$D$415,4,FALSE)</f>
        <v>#N/A</v>
      </c>
      <c r="H1023" s="7" t="e">
        <f>VLOOKUP(A1023,Sheet5!$A$2:$D$415,3,FALSE)</f>
        <v>#N/A</v>
      </c>
      <c r="I1023" s="7">
        <f>VLOOKUP(A1023,'1201-29周均耗用'!$A$1:$C$602,3,FALSE)</f>
        <v>0.5</v>
      </c>
    </row>
    <row r="1024" spans="1:9">
      <c r="A1024" s="13" t="s">
        <v>2053</v>
      </c>
      <c r="B1024" s="14" t="s">
        <v>2054</v>
      </c>
      <c r="C1024" s="13">
        <v>0</v>
      </c>
      <c r="D1024" s="7">
        <f>IFERROR(VLOOKUP(A1024,'1227-29耗量'!$A$1:$C$602,3,FALSE),0)</f>
        <v>0</v>
      </c>
      <c r="E1024" s="7">
        <f t="shared" si="30"/>
        <v>0</v>
      </c>
      <c r="F1024" s="7" t="str">
        <f t="shared" si="31"/>
        <v>無資料</v>
      </c>
      <c r="G1024" s="7" t="e">
        <f>VLOOKUP(A1024,Sheet5!$A$2:$D$415,4,FALSE)</f>
        <v>#N/A</v>
      </c>
      <c r="H1024" s="7" t="e">
        <f>VLOOKUP(A1024,Sheet5!$A$2:$D$415,3,FALSE)</f>
        <v>#N/A</v>
      </c>
      <c r="I1024" s="7">
        <f>VLOOKUP(A1024,'1201-29周均耗用'!$A$1:$C$602,3,FALSE)</f>
        <v>0.5</v>
      </c>
    </row>
    <row r="1025" spans="1:9">
      <c r="A1025" s="13" t="s">
        <v>2055</v>
      </c>
      <c r="B1025" s="14" t="s">
        <v>2056</v>
      </c>
      <c r="C1025" s="13">
        <v>1926</v>
      </c>
      <c r="D1025" s="7">
        <f>VLOOKUP(A1025,'1227-29耗量'!$A$1:$C$602,3,FALSE)</f>
        <v>152</v>
      </c>
      <c r="E1025" s="7">
        <f t="shared" si="30"/>
        <v>1774</v>
      </c>
      <c r="F1025" s="7" t="str">
        <f t="shared" si="31"/>
        <v>錯誤</v>
      </c>
      <c r="G1025" s="7">
        <f>VLOOKUP(A1025,Sheet5!$A$2:$D$415,4,FALSE)</f>
        <v>950</v>
      </c>
      <c r="H1025" s="7">
        <f>VLOOKUP(A1025,Sheet5!$A$2:$D$415,3,FALSE)</f>
        <v>1000</v>
      </c>
      <c r="I1025" s="7" t="e">
        <f>VLOOKUP(A1025,'1201-29周均耗用'!$A$1:$C$602,3,FALSE)</f>
        <v>#N/A</v>
      </c>
    </row>
    <row r="1026" spans="1:9">
      <c r="A1026" s="13" t="s">
        <v>2057</v>
      </c>
      <c r="B1026" s="14" t="s">
        <v>2058</v>
      </c>
      <c r="C1026" s="13">
        <v>29</v>
      </c>
      <c r="D1026" s="7">
        <f>VLOOKUP(A1026,'1227-29耗量'!$A$1:$C$602,3,FALSE)</f>
        <v>1</v>
      </c>
      <c r="E1026" s="7">
        <f t="shared" si="30"/>
        <v>28</v>
      </c>
      <c r="F1026" s="7" t="str">
        <f t="shared" si="31"/>
        <v>錯誤</v>
      </c>
      <c r="G1026" s="7">
        <f>VLOOKUP(A1026,Sheet5!$A$2:$D$415,4,FALSE)</f>
        <v>15</v>
      </c>
      <c r="H1026" s="7">
        <f>VLOOKUP(A1026,Sheet5!$A$2:$D$415,3,FALSE)</f>
        <v>36</v>
      </c>
      <c r="I1026" s="7" t="e">
        <f>VLOOKUP(A1026,'1201-29周均耗用'!$A$1:$C$602,3,FALSE)</f>
        <v>#N/A</v>
      </c>
    </row>
    <row r="1027" spans="1:9">
      <c r="A1027" s="13" t="s">
        <v>2059</v>
      </c>
      <c r="B1027" s="14" t="s">
        <v>2060</v>
      </c>
      <c r="C1027" s="13">
        <v>0</v>
      </c>
      <c r="D1027" s="7">
        <f>IFERROR(VLOOKUP(A1027,'1227-29耗量'!$A$1:$C$602,3,FALSE),0)</f>
        <v>0</v>
      </c>
      <c r="E1027" s="7">
        <f t="shared" ref="E1027:E1090" si="32">C1027-D1027</f>
        <v>0</v>
      </c>
      <c r="F1027" s="7" t="str">
        <f t="shared" ref="F1027:F1090" si="33">IFERROR(IF(E1027=G1027,"OK","錯誤"),"無資料")</f>
        <v>無資料</v>
      </c>
      <c r="G1027" s="7" t="e">
        <f>VLOOKUP(A1027,Sheet5!$A$2:$D$415,4,FALSE)</f>
        <v>#N/A</v>
      </c>
      <c r="H1027" s="7" t="e">
        <f>VLOOKUP(A1027,Sheet5!$A$2:$D$415,3,FALSE)</f>
        <v>#N/A</v>
      </c>
      <c r="I1027" s="7" t="e">
        <f>VLOOKUP(A1027,'1201-29周均耗用'!$A$1:$C$602,3,FALSE)</f>
        <v>#N/A</v>
      </c>
    </row>
    <row r="1028" spans="1:9">
      <c r="A1028" s="13" t="s">
        <v>2061</v>
      </c>
      <c r="B1028" s="14" t="s">
        <v>2062</v>
      </c>
      <c r="C1028" s="13">
        <v>14</v>
      </c>
      <c r="D1028" s="7">
        <f>IFERROR(VLOOKUP(A1028,'1227-29耗量'!$A$1:$C$602,3,FALSE),0)</f>
        <v>0</v>
      </c>
      <c r="E1028" s="7">
        <f t="shared" si="32"/>
        <v>14</v>
      </c>
      <c r="F1028" s="7" t="str">
        <f t="shared" si="33"/>
        <v>錯誤</v>
      </c>
      <c r="G1028" s="7">
        <f>VLOOKUP(A1028,Sheet5!$A$2:$D$415,4,FALSE)</f>
        <v>7</v>
      </c>
      <c r="H1028" s="7">
        <f>VLOOKUP(A1028,Sheet5!$A$2:$D$415,3,FALSE)</f>
        <v>5</v>
      </c>
      <c r="I1028" s="7" t="e">
        <f>VLOOKUP(A1028,'1201-29周均耗用'!$A$1:$C$602,3,FALSE)</f>
        <v>#N/A</v>
      </c>
    </row>
    <row r="1029" spans="1:9">
      <c r="A1029" s="13" t="s">
        <v>2063</v>
      </c>
      <c r="B1029" s="14" t="s">
        <v>2064</v>
      </c>
      <c r="C1029" s="13">
        <v>2646</v>
      </c>
      <c r="D1029" s="7">
        <f>IFERROR(VLOOKUP(A1029,'1227-29耗量'!$A$1:$C$602,3,FALSE),0)</f>
        <v>93</v>
      </c>
      <c r="E1029" s="7">
        <f t="shared" si="32"/>
        <v>2553</v>
      </c>
      <c r="F1029" s="7" t="str">
        <f t="shared" si="33"/>
        <v>無資料</v>
      </c>
      <c r="G1029" s="7" t="e">
        <f>VLOOKUP(A1029,Sheet5!$A$2:$D$415,4,FALSE)</f>
        <v>#N/A</v>
      </c>
      <c r="H1029" s="7" t="e">
        <f>VLOOKUP(A1029,Sheet5!$A$2:$D$415,3,FALSE)</f>
        <v>#N/A</v>
      </c>
      <c r="I1029" s="7" t="e">
        <f>VLOOKUP(A1029,'1201-29周均耗用'!$A$1:$C$602,3,FALSE)</f>
        <v>#N/A</v>
      </c>
    </row>
    <row r="1030" spans="1:9">
      <c r="A1030" s="13" t="s">
        <v>2065</v>
      </c>
      <c r="B1030" s="14" t="s">
        <v>2066</v>
      </c>
      <c r="C1030" s="13">
        <v>0</v>
      </c>
      <c r="D1030" s="7">
        <f>IFERROR(VLOOKUP(A1030,'1227-29耗量'!$A$1:$C$602,3,FALSE),0)</f>
        <v>0</v>
      </c>
      <c r="E1030" s="7">
        <f t="shared" si="32"/>
        <v>0</v>
      </c>
      <c r="F1030" s="7" t="str">
        <f t="shared" si="33"/>
        <v>無資料</v>
      </c>
      <c r="G1030" s="7" t="e">
        <f>VLOOKUP(A1030,Sheet5!$A$2:$D$415,4,FALSE)</f>
        <v>#N/A</v>
      </c>
      <c r="H1030" s="7" t="e">
        <f>VLOOKUP(A1030,Sheet5!$A$2:$D$415,3,FALSE)</f>
        <v>#N/A</v>
      </c>
      <c r="I1030" s="7" t="e">
        <f>VLOOKUP(A1030,'1201-29周均耗用'!$A$1:$C$602,3,FALSE)</f>
        <v>#N/A</v>
      </c>
    </row>
    <row r="1031" spans="1:9">
      <c r="A1031" s="13" t="s">
        <v>2067</v>
      </c>
      <c r="B1031" s="14" t="s">
        <v>2068</v>
      </c>
      <c r="C1031" s="13">
        <v>0</v>
      </c>
      <c r="D1031" s="7">
        <f>IFERROR(VLOOKUP(A1031,'1227-29耗量'!$A$1:$C$602,3,FALSE),0)</f>
        <v>0</v>
      </c>
      <c r="E1031" s="7">
        <f t="shared" si="32"/>
        <v>0</v>
      </c>
      <c r="F1031" s="7" t="str">
        <f t="shared" si="33"/>
        <v>無資料</v>
      </c>
      <c r="G1031" s="7" t="e">
        <f>VLOOKUP(A1031,Sheet5!$A$2:$D$415,4,FALSE)</f>
        <v>#N/A</v>
      </c>
      <c r="H1031" s="7" t="e">
        <f>VLOOKUP(A1031,Sheet5!$A$2:$D$415,3,FALSE)</f>
        <v>#N/A</v>
      </c>
      <c r="I1031" s="7" t="e">
        <f>VLOOKUP(A1031,'1201-29周均耗用'!$A$1:$C$602,3,FALSE)</f>
        <v>#N/A</v>
      </c>
    </row>
    <row r="1032" spans="1:9">
      <c r="A1032" s="13" t="s">
        <v>2069</v>
      </c>
      <c r="B1032" s="14" t="s">
        <v>2070</v>
      </c>
      <c r="C1032" s="13">
        <v>0</v>
      </c>
      <c r="D1032" s="7">
        <f>IFERROR(VLOOKUP(A1032,'1227-29耗量'!$A$1:$C$602,3,FALSE),0)</f>
        <v>0</v>
      </c>
      <c r="E1032" s="7">
        <f t="shared" si="32"/>
        <v>0</v>
      </c>
      <c r="F1032" s="7" t="str">
        <f t="shared" si="33"/>
        <v>無資料</v>
      </c>
      <c r="G1032" s="7" t="e">
        <f>VLOOKUP(A1032,Sheet5!$A$2:$D$415,4,FALSE)</f>
        <v>#N/A</v>
      </c>
      <c r="H1032" s="7" t="e">
        <f>VLOOKUP(A1032,Sheet5!$A$2:$D$415,3,FALSE)</f>
        <v>#N/A</v>
      </c>
      <c r="I1032" s="7">
        <f>VLOOKUP(A1032,'1201-29周均耗用'!$A$1:$C$602,3,FALSE)</f>
        <v>0.2</v>
      </c>
    </row>
    <row r="1033" spans="1:9">
      <c r="A1033" s="13" t="s">
        <v>2071</v>
      </c>
      <c r="B1033" s="14" t="s">
        <v>2072</v>
      </c>
      <c r="C1033" s="13">
        <v>0</v>
      </c>
      <c r="D1033" s="7">
        <f>IFERROR(VLOOKUP(A1033,'1227-29耗量'!$A$1:$C$602,3,FALSE),0)</f>
        <v>0</v>
      </c>
      <c r="E1033" s="7">
        <f t="shared" si="32"/>
        <v>0</v>
      </c>
      <c r="F1033" s="7" t="str">
        <f t="shared" si="33"/>
        <v>無資料</v>
      </c>
      <c r="G1033" s="7" t="e">
        <f>VLOOKUP(A1033,Sheet5!$A$2:$D$415,4,FALSE)</f>
        <v>#N/A</v>
      </c>
      <c r="H1033" s="7" t="e">
        <f>VLOOKUP(A1033,Sheet5!$A$2:$D$415,3,FALSE)</f>
        <v>#N/A</v>
      </c>
      <c r="I1033" s="7" t="e">
        <f>VLOOKUP(A1033,'1201-29周均耗用'!$A$1:$C$602,3,FALSE)</f>
        <v>#N/A</v>
      </c>
    </row>
    <row r="1034" spans="1:9">
      <c r="A1034" s="13" t="s">
        <v>2073</v>
      </c>
      <c r="B1034" s="14" t="s">
        <v>2074</v>
      </c>
      <c r="C1034" s="13">
        <v>2226</v>
      </c>
      <c r="D1034" s="7">
        <f>VLOOKUP(A1034,'1227-29耗量'!$A$1:$C$602,3,FALSE)</f>
        <v>87</v>
      </c>
      <c r="E1034" s="7">
        <f t="shared" si="32"/>
        <v>2139</v>
      </c>
      <c r="F1034" s="7" t="str">
        <f t="shared" si="33"/>
        <v>錯誤</v>
      </c>
      <c r="G1034" s="7">
        <f>VLOOKUP(A1034,Sheet5!$A$2:$D$415,4,FALSE)</f>
        <v>872</v>
      </c>
      <c r="H1034" s="7">
        <f>VLOOKUP(A1034,Sheet5!$A$2:$D$415,3,FALSE)</f>
        <v>2200</v>
      </c>
      <c r="I1034" s="7">
        <f>VLOOKUP(A1034,'1201-29周均耗用'!$A$1:$C$602,3,FALSE)</f>
        <v>618.2</v>
      </c>
    </row>
    <row r="1035" spans="1:9">
      <c r="A1035" s="13" t="s">
        <v>2075</v>
      </c>
      <c r="B1035" s="14" t="s">
        <v>2076</v>
      </c>
      <c r="C1035" s="13">
        <v>0</v>
      </c>
      <c r="D1035" s="7">
        <f>IFERROR(VLOOKUP(A1035,'1227-29耗量'!$A$1:$C$602,3,FALSE),0)</f>
        <v>0</v>
      </c>
      <c r="E1035" s="7">
        <f t="shared" si="32"/>
        <v>0</v>
      </c>
      <c r="F1035" s="7" t="str">
        <f t="shared" si="33"/>
        <v>無資料</v>
      </c>
      <c r="G1035" s="7" t="e">
        <f>VLOOKUP(A1035,Sheet5!$A$2:$D$415,4,FALSE)</f>
        <v>#N/A</v>
      </c>
      <c r="H1035" s="7" t="e">
        <f>VLOOKUP(A1035,Sheet5!$A$2:$D$415,3,FALSE)</f>
        <v>#N/A</v>
      </c>
      <c r="I1035" s="7" t="e">
        <f>VLOOKUP(A1035,'1201-29周均耗用'!$A$1:$C$602,3,FALSE)</f>
        <v>#N/A</v>
      </c>
    </row>
    <row r="1036" spans="1:9">
      <c r="A1036" s="13" t="s">
        <v>2077</v>
      </c>
      <c r="B1036" s="14" t="s">
        <v>2078</v>
      </c>
      <c r="C1036" s="13">
        <v>66</v>
      </c>
      <c r="D1036" s="7">
        <f>IFERROR(VLOOKUP(A1036,'1227-29耗量'!$A$1:$C$602,3,FALSE),0)</f>
        <v>0</v>
      </c>
      <c r="E1036" s="7">
        <f t="shared" si="32"/>
        <v>66</v>
      </c>
      <c r="F1036" s="7" t="str">
        <f t="shared" si="33"/>
        <v>錯誤</v>
      </c>
      <c r="G1036" s="7">
        <f>VLOOKUP(A1036,Sheet5!$A$2:$D$415,4,FALSE)</f>
        <v>18</v>
      </c>
      <c r="H1036" s="7">
        <f>VLOOKUP(A1036,Sheet5!$A$2:$D$415,3,FALSE)</f>
        <v>50</v>
      </c>
      <c r="I1036" s="7" t="e">
        <f>VLOOKUP(A1036,'1201-29周均耗用'!$A$1:$C$602,3,FALSE)</f>
        <v>#N/A</v>
      </c>
    </row>
    <row r="1037" spans="1:9">
      <c r="A1037" s="13" t="s">
        <v>2079</v>
      </c>
      <c r="B1037" s="14" t="s">
        <v>2080</v>
      </c>
      <c r="C1037" s="13">
        <v>344</v>
      </c>
      <c r="D1037" s="7">
        <f>IFERROR(VLOOKUP(A1037,'1227-29耗量'!$A$1:$C$602,3,FALSE),0)</f>
        <v>3</v>
      </c>
      <c r="E1037" s="7">
        <f t="shared" si="32"/>
        <v>341</v>
      </c>
      <c r="F1037" s="7" t="str">
        <f t="shared" si="33"/>
        <v>無資料</v>
      </c>
      <c r="G1037" s="7" t="e">
        <f>VLOOKUP(A1037,Sheet5!$A$2:$D$415,4,FALSE)</f>
        <v>#N/A</v>
      </c>
      <c r="H1037" s="7" t="e">
        <f>VLOOKUP(A1037,Sheet5!$A$2:$D$415,3,FALSE)</f>
        <v>#N/A</v>
      </c>
      <c r="I1037" s="7" t="e">
        <f>VLOOKUP(A1037,'1201-29周均耗用'!$A$1:$C$602,3,FALSE)</f>
        <v>#N/A</v>
      </c>
    </row>
    <row r="1038" spans="1:9">
      <c r="A1038" s="13" t="s">
        <v>2081</v>
      </c>
      <c r="B1038" s="14" t="s">
        <v>2082</v>
      </c>
      <c r="C1038" s="13">
        <v>65</v>
      </c>
      <c r="D1038" s="7">
        <f>VLOOKUP(A1038,'1227-29耗量'!$A$1:$C$602,3,FALSE)</f>
        <v>4</v>
      </c>
      <c r="E1038" s="7">
        <f t="shared" si="32"/>
        <v>61</v>
      </c>
      <c r="F1038" s="7" t="str">
        <f t="shared" si="33"/>
        <v>錯誤</v>
      </c>
      <c r="G1038" s="7">
        <f>VLOOKUP(A1038,Sheet5!$A$2:$D$415,4,FALSE)</f>
        <v>22</v>
      </c>
      <c r="H1038" s="7">
        <f>VLOOKUP(A1038,Sheet5!$A$2:$D$415,3,FALSE)</f>
        <v>44</v>
      </c>
      <c r="I1038" s="7" t="e">
        <f>VLOOKUP(A1038,'1201-29周均耗用'!$A$1:$C$602,3,FALSE)</f>
        <v>#N/A</v>
      </c>
    </row>
    <row r="1039" spans="1:9">
      <c r="A1039" s="13" t="s">
        <v>2083</v>
      </c>
      <c r="B1039" s="14" t="s">
        <v>2084</v>
      </c>
      <c r="C1039" s="13">
        <v>0</v>
      </c>
      <c r="D1039" s="7">
        <f>IFERROR(VLOOKUP(A1039,'1227-29耗量'!$A$1:$C$602,3,FALSE),0)</f>
        <v>0</v>
      </c>
      <c r="E1039" s="7">
        <f t="shared" si="32"/>
        <v>0</v>
      </c>
      <c r="F1039" s="7" t="str">
        <f t="shared" si="33"/>
        <v>無資料</v>
      </c>
      <c r="G1039" s="7" t="e">
        <f>VLOOKUP(A1039,Sheet5!$A$2:$D$415,4,FALSE)</f>
        <v>#N/A</v>
      </c>
      <c r="H1039" s="7" t="e">
        <f>VLOOKUP(A1039,Sheet5!$A$2:$D$415,3,FALSE)</f>
        <v>#N/A</v>
      </c>
      <c r="I1039" s="7" t="e">
        <f>VLOOKUP(A1039,'1201-29周均耗用'!$A$1:$C$602,3,FALSE)</f>
        <v>#N/A</v>
      </c>
    </row>
    <row r="1040" spans="1:9">
      <c r="A1040" s="13" t="s">
        <v>2085</v>
      </c>
      <c r="B1040" s="14" t="s">
        <v>2086</v>
      </c>
      <c r="C1040" s="13">
        <v>21</v>
      </c>
      <c r="D1040" s="7">
        <f>IFERROR(VLOOKUP(A1040,'1227-29耗量'!$A$1:$C$602,3,FALSE),0)</f>
        <v>0</v>
      </c>
      <c r="E1040" s="7">
        <f t="shared" si="32"/>
        <v>21</v>
      </c>
      <c r="F1040" s="7" t="str">
        <f t="shared" si="33"/>
        <v>無資料</v>
      </c>
      <c r="G1040" s="7" t="e">
        <f>VLOOKUP(A1040,Sheet5!$A$2:$D$415,4,FALSE)</f>
        <v>#N/A</v>
      </c>
      <c r="H1040" s="7" t="e">
        <f>VLOOKUP(A1040,Sheet5!$A$2:$D$415,3,FALSE)</f>
        <v>#N/A</v>
      </c>
      <c r="I1040" s="7" t="e">
        <f>VLOOKUP(A1040,'1201-29周均耗用'!$A$1:$C$602,3,FALSE)</f>
        <v>#N/A</v>
      </c>
    </row>
    <row r="1041" spans="1:9">
      <c r="A1041" s="13" t="s">
        <v>2087</v>
      </c>
      <c r="B1041" s="14" t="s">
        <v>2088</v>
      </c>
      <c r="C1041" s="13">
        <v>0</v>
      </c>
      <c r="D1041" s="7">
        <f>IFERROR(VLOOKUP(A1041,'1227-29耗量'!$A$1:$C$602,3,FALSE),0)</f>
        <v>0</v>
      </c>
      <c r="E1041" s="7">
        <f t="shared" si="32"/>
        <v>0</v>
      </c>
      <c r="F1041" s="7" t="str">
        <f t="shared" si="33"/>
        <v>無資料</v>
      </c>
      <c r="G1041" s="7" t="e">
        <f>VLOOKUP(A1041,Sheet5!$A$2:$D$415,4,FALSE)</f>
        <v>#N/A</v>
      </c>
      <c r="H1041" s="7" t="e">
        <f>VLOOKUP(A1041,Sheet5!$A$2:$D$415,3,FALSE)</f>
        <v>#N/A</v>
      </c>
      <c r="I1041" s="7" t="e">
        <f>VLOOKUP(A1041,'1201-29周均耗用'!$A$1:$C$602,3,FALSE)</f>
        <v>#N/A</v>
      </c>
    </row>
    <row r="1042" spans="1:9">
      <c r="A1042" s="13" t="s">
        <v>2089</v>
      </c>
      <c r="B1042" s="14" t="s">
        <v>2090</v>
      </c>
      <c r="C1042" s="13">
        <v>0</v>
      </c>
      <c r="D1042" s="7">
        <f>IFERROR(VLOOKUP(A1042,'1227-29耗量'!$A$1:$C$602,3,FALSE),0)</f>
        <v>0</v>
      </c>
      <c r="E1042" s="7">
        <f t="shared" si="32"/>
        <v>0</v>
      </c>
      <c r="F1042" s="7" t="str">
        <f t="shared" si="33"/>
        <v>無資料</v>
      </c>
      <c r="G1042" s="7" t="e">
        <f>VLOOKUP(A1042,Sheet5!$A$2:$D$415,4,FALSE)</f>
        <v>#N/A</v>
      </c>
      <c r="H1042" s="7" t="e">
        <f>VLOOKUP(A1042,Sheet5!$A$2:$D$415,3,FALSE)</f>
        <v>#N/A</v>
      </c>
      <c r="I1042" s="7" t="e">
        <f>VLOOKUP(A1042,'1201-29周均耗用'!$A$1:$C$602,3,FALSE)</f>
        <v>#N/A</v>
      </c>
    </row>
    <row r="1043" spans="1:9">
      <c r="A1043" s="13" t="s">
        <v>2091</v>
      </c>
      <c r="B1043" s="14" t="s">
        <v>2092</v>
      </c>
      <c r="C1043" s="13">
        <v>258</v>
      </c>
      <c r="D1043" s="7">
        <f>IFERROR(VLOOKUP(A1043,'1227-29耗量'!$A$1:$C$602,3,FALSE),0)</f>
        <v>0</v>
      </c>
      <c r="E1043" s="7">
        <f t="shared" si="32"/>
        <v>258</v>
      </c>
      <c r="F1043" s="7" t="str">
        <f t="shared" si="33"/>
        <v>錯誤</v>
      </c>
      <c r="G1043" s="7">
        <f>VLOOKUP(A1043,Sheet5!$A$2:$D$415,4,FALSE)</f>
        <v>136</v>
      </c>
      <c r="H1043" s="7">
        <f>VLOOKUP(A1043,Sheet5!$A$2:$D$415,3,FALSE)</f>
        <v>224</v>
      </c>
      <c r="I1043" s="7" t="e">
        <f>VLOOKUP(A1043,'1201-29周均耗用'!$A$1:$C$602,3,FALSE)</f>
        <v>#N/A</v>
      </c>
    </row>
    <row r="1044" spans="1:9">
      <c r="A1044" s="13" t="s">
        <v>2093</v>
      </c>
      <c r="B1044" s="14" t="s">
        <v>2094</v>
      </c>
      <c r="C1044" s="13">
        <v>23</v>
      </c>
      <c r="D1044" s="7">
        <f>IFERROR(VLOOKUP(A1044,'1227-29耗量'!$A$1:$C$602,3,FALSE),0)</f>
        <v>4</v>
      </c>
      <c r="E1044" s="7">
        <f t="shared" si="32"/>
        <v>19</v>
      </c>
      <c r="F1044" s="7" t="str">
        <f t="shared" si="33"/>
        <v>無資料</v>
      </c>
      <c r="G1044" s="7" t="e">
        <f>VLOOKUP(A1044,Sheet5!$A$2:$D$415,4,FALSE)</f>
        <v>#N/A</v>
      </c>
      <c r="H1044" s="7" t="e">
        <f>VLOOKUP(A1044,Sheet5!$A$2:$D$415,3,FALSE)</f>
        <v>#N/A</v>
      </c>
      <c r="I1044" s="7" t="e">
        <f>VLOOKUP(A1044,'1201-29周均耗用'!$A$1:$C$602,3,FALSE)</f>
        <v>#N/A</v>
      </c>
    </row>
    <row r="1045" spans="1:9">
      <c r="A1045" s="13" t="s">
        <v>2095</v>
      </c>
      <c r="B1045" s="14" t="s">
        <v>2096</v>
      </c>
      <c r="C1045" s="13">
        <v>64</v>
      </c>
      <c r="D1045" s="7">
        <f>IFERROR(VLOOKUP(A1045,'1227-29耗量'!$A$1:$C$602,3,FALSE),0)</f>
        <v>0</v>
      </c>
      <c r="E1045" s="7">
        <f t="shared" si="32"/>
        <v>64</v>
      </c>
      <c r="F1045" s="7" t="str">
        <f t="shared" si="33"/>
        <v>錯誤</v>
      </c>
      <c r="G1045" s="7">
        <f>VLOOKUP(A1045,Sheet5!$A$2:$D$415,4,FALSE)</f>
        <v>19</v>
      </c>
      <c r="H1045" s="7">
        <f>VLOOKUP(A1045,Sheet5!$A$2:$D$415,3,FALSE)</f>
        <v>28</v>
      </c>
      <c r="I1045" s="7" t="e">
        <f>VLOOKUP(A1045,'1201-29周均耗用'!$A$1:$C$602,3,FALSE)</f>
        <v>#N/A</v>
      </c>
    </row>
    <row r="1046" spans="1:9">
      <c r="A1046" s="13" t="s">
        <v>2097</v>
      </c>
      <c r="B1046" s="14" t="s">
        <v>2098</v>
      </c>
      <c r="C1046" s="13">
        <v>0</v>
      </c>
      <c r="D1046" s="7">
        <f>IFERROR(VLOOKUP(A1046,'1227-29耗量'!$A$1:$C$602,3,FALSE),0)</f>
        <v>0</v>
      </c>
      <c r="E1046" s="7">
        <f t="shared" si="32"/>
        <v>0</v>
      </c>
      <c r="F1046" s="7" t="str">
        <f t="shared" si="33"/>
        <v>無資料</v>
      </c>
      <c r="G1046" s="7" t="e">
        <f>VLOOKUP(A1046,Sheet5!$A$2:$D$415,4,FALSE)</f>
        <v>#N/A</v>
      </c>
      <c r="H1046" s="7" t="e">
        <f>VLOOKUP(A1046,Sheet5!$A$2:$D$415,3,FALSE)</f>
        <v>#N/A</v>
      </c>
      <c r="I1046" s="7" t="e">
        <f>VLOOKUP(A1046,'1201-29周均耗用'!$A$1:$C$602,3,FALSE)</f>
        <v>#N/A</v>
      </c>
    </row>
    <row r="1047" spans="1:9">
      <c r="A1047" s="13" t="s">
        <v>2099</v>
      </c>
      <c r="B1047" s="14" t="s">
        <v>2100</v>
      </c>
      <c r="C1047" s="13">
        <v>480</v>
      </c>
      <c r="D1047" s="7">
        <f>VLOOKUP(A1047,'1227-29耗量'!$A$1:$C$602,3,FALSE)</f>
        <v>13</v>
      </c>
      <c r="E1047" s="7">
        <f t="shared" si="32"/>
        <v>467</v>
      </c>
      <c r="F1047" s="7" t="str">
        <f t="shared" si="33"/>
        <v>錯誤</v>
      </c>
      <c r="G1047" s="7">
        <f>VLOOKUP(A1047,Sheet5!$A$2:$D$415,4,FALSE)</f>
        <v>237</v>
      </c>
      <c r="H1047" s="7">
        <f>VLOOKUP(A1047,Sheet5!$A$2:$D$415,3,FALSE)</f>
        <v>300</v>
      </c>
      <c r="I1047" s="7" t="e">
        <f>VLOOKUP(A1047,'1201-29周均耗用'!$A$1:$C$602,3,FALSE)</f>
        <v>#N/A</v>
      </c>
    </row>
    <row r="1048" spans="1:9">
      <c r="A1048" s="13" t="s">
        <v>2101</v>
      </c>
      <c r="B1048" s="14" t="s">
        <v>2102</v>
      </c>
      <c r="C1048" s="13">
        <v>154</v>
      </c>
      <c r="D1048" s="7">
        <f>IFERROR(VLOOKUP(A1048,'1227-29耗量'!$A$1:$C$602,3,FALSE),0)</f>
        <v>1</v>
      </c>
      <c r="E1048" s="7">
        <f t="shared" si="32"/>
        <v>153</v>
      </c>
      <c r="F1048" s="7" t="str">
        <f t="shared" si="33"/>
        <v>無資料</v>
      </c>
      <c r="G1048" s="7" t="e">
        <f>VLOOKUP(A1048,Sheet5!$A$2:$D$415,4,FALSE)</f>
        <v>#N/A</v>
      </c>
      <c r="H1048" s="7" t="e">
        <f>VLOOKUP(A1048,Sheet5!$A$2:$D$415,3,FALSE)</f>
        <v>#N/A</v>
      </c>
      <c r="I1048" s="7" t="e">
        <f>VLOOKUP(A1048,'1201-29周均耗用'!$A$1:$C$602,3,FALSE)</f>
        <v>#N/A</v>
      </c>
    </row>
    <row r="1049" spans="1:9">
      <c r="A1049" s="13" t="s">
        <v>2103</v>
      </c>
      <c r="B1049" s="14" t="s">
        <v>2104</v>
      </c>
      <c r="C1049" s="13">
        <v>42</v>
      </c>
      <c r="D1049" s="7">
        <f>IFERROR(VLOOKUP(A1049,'1227-29耗量'!$A$1:$C$602,3,FALSE),0)</f>
        <v>1</v>
      </c>
      <c r="E1049" s="7">
        <f t="shared" si="32"/>
        <v>41</v>
      </c>
      <c r="F1049" s="7" t="str">
        <f t="shared" si="33"/>
        <v>無資料</v>
      </c>
      <c r="G1049" s="7" t="e">
        <f>VLOOKUP(A1049,Sheet5!$A$2:$D$415,4,FALSE)</f>
        <v>#N/A</v>
      </c>
      <c r="H1049" s="7" t="e">
        <f>VLOOKUP(A1049,Sheet5!$A$2:$D$415,3,FALSE)</f>
        <v>#N/A</v>
      </c>
      <c r="I1049" s="7">
        <f>VLOOKUP(A1049,'1201-29周均耗用'!$A$1:$C$602,3,FALSE)</f>
        <v>4</v>
      </c>
    </row>
    <row r="1050" spans="1:9">
      <c r="A1050" s="13" t="s">
        <v>2105</v>
      </c>
      <c r="B1050" s="14" t="s">
        <v>2106</v>
      </c>
      <c r="C1050" s="13">
        <v>1872</v>
      </c>
      <c r="D1050" s="7">
        <f>VLOOKUP(A1050,'1227-29耗量'!$A$1:$C$602,3,FALSE)</f>
        <v>172</v>
      </c>
      <c r="E1050" s="7">
        <f t="shared" si="32"/>
        <v>1700</v>
      </c>
      <c r="F1050" s="7" t="str">
        <f t="shared" si="33"/>
        <v>錯誤</v>
      </c>
      <c r="G1050" s="7">
        <f>VLOOKUP(A1050,Sheet5!$A$2:$D$415,4,FALSE)</f>
        <v>1421</v>
      </c>
      <c r="H1050" s="7">
        <f>VLOOKUP(A1050,Sheet5!$A$2:$D$415,3,FALSE)</f>
        <v>3000</v>
      </c>
      <c r="I1050" s="7" t="e">
        <f>VLOOKUP(A1050,'1201-29周均耗用'!$A$1:$C$602,3,FALSE)</f>
        <v>#N/A</v>
      </c>
    </row>
    <row r="1051" spans="1:9">
      <c r="A1051" s="13" t="s">
        <v>2107</v>
      </c>
      <c r="B1051" s="14" t="s">
        <v>2108</v>
      </c>
      <c r="C1051" s="13">
        <v>941</v>
      </c>
      <c r="D1051" s="7">
        <f>IFERROR(VLOOKUP(A1051,'1227-29耗量'!$A$1:$C$602,3,FALSE),0)</f>
        <v>4</v>
      </c>
      <c r="E1051" s="7">
        <f t="shared" si="32"/>
        <v>937</v>
      </c>
      <c r="F1051" s="7" t="str">
        <f t="shared" si="33"/>
        <v>無資料</v>
      </c>
      <c r="G1051" s="7" t="e">
        <f>VLOOKUP(A1051,Sheet5!$A$2:$D$415,4,FALSE)</f>
        <v>#N/A</v>
      </c>
      <c r="H1051" s="7" t="e">
        <f>VLOOKUP(A1051,Sheet5!$A$2:$D$415,3,FALSE)</f>
        <v>#N/A</v>
      </c>
      <c r="I1051" s="7" t="e">
        <f>VLOOKUP(A1051,'1201-29周均耗用'!$A$1:$C$602,3,FALSE)</f>
        <v>#N/A</v>
      </c>
    </row>
    <row r="1052" spans="1:9">
      <c r="A1052" s="13" t="s">
        <v>2109</v>
      </c>
      <c r="B1052" s="14" t="s">
        <v>2110</v>
      </c>
      <c r="C1052" s="13">
        <v>460</v>
      </c>
      <c r="D1052" s="7">
        <f>IFERROR(VLOOKUP(A1052,'1227-29耗量'!$A$1:$C$602,3,FALSE),0)</f>
        <v>46</v>
      </c>
      <c r="E1052" s="7">
        <f t="shared" si="32"/>
        <v>414</v>
      </c>
      <c r="F1052" s="7" t="str">
        <f t="shared" si="33"/>
        <v>無資料</v>
      </c>
      <c r="G1052" s="7" t="e">
        <f>VLOOKUP(A1052,Sheet5!$A$2:$D$415,4,FALSE)</f>
        <v>#N/A</v>
      </c>
      <c r="H1052" s="7" t="e">
        <f>VLOOKUP(A1052,Sheet5!$A$2:$D$415,3,FALSE)</f>
        <v>#N/A</v>
      </c>
      <c r="I1052" s="7" t="e">
        <f>VLOOKUP(A1052,'1201-29周均耗用'!$A$1:$C$602,3,FALSE)</f>
        <v>#N/A</v>
      </c>
    </row>
    <row r="1053" spans="1:9">
      <c r="A1053" s="13" t="s">
        <v>2111</v>
      </c>
      <c r="B1053" s="14" t="s">
        <v>2112</v>
      </c>
      <c r="C1053" s="13">
        <v>0</v>
      </c>
      <c r="D1053" s="7">
        <f>IFERROR(VLOOKUP(A1053,'1227-29耗量'!$A$1:$C$602,3,FALSE),0)</f>
        <v>0</v>
      </c>
      <c r="E1053" s="7">
        <f t="shared" si="32"/>
        <v>0</v>
      </c>
      <c r="F1053" s="7" t="str">
        <f t="shared" si="33"/>
        <v>無資料</v>
      </c>
      <c r="G1053" s="7" t="e">
        <f>VLOOKUP(A1053,Sheet5!$A$2:$D$415,4,FALSE)</f>
        <v>#N/A</v>
      </c>
      <c r="H1053" s="7" t="e">
        <f>VLOOKUP(A1053,Sheet5!$A$2:$D$415,3,FALSE)</f>
        <v>#N/A</v>
      </c>
      <c r="I1053" s="7" t="e">
        <f>VLOOKUP(A1053,'1201-29周均耗用'!$A$1:$C$602,3,FALSE)</f>
        <v>#N/A</v>
      </c>
    </row>
    <row r="1054" spans="1:9">
      <c r="A1054" s="13" t="s">
        <v>2113</v>
      </c>
      <c r="B1054" s="14" t="s">
        <v>2114</v>
      </c>
      <c r="C1054" s="13">
        <v>0</v>
      </c>
      <c r="D1054" s="7">
        <f>IFERROR(VLOOKUP(A1054,'1227-29耗量'!$A$1:$C$602,3,FALSE),0)</f>
        <v>0</v>
      </c>
      <c r="E1054" s="7">
        <f t="shared" si="32"/>
        <v>0</v>
      </c>
      <c r="F1054" s="7" t="str">
        <f t="shared" si="33"/>
        <v>無資料</v>
      </c>
      <c r="G1054" s="7" t="e">
        <f>VLOOKUP(A1054,Sheet5!$A$2:$D$415,4,FALSE)</f>
        <v>#N/A</v>
      </c>
      <c r="H1054" s="7" t="e">
        <f>VLOOKUP(A1054,Sheet5!$A$2:$D$415,3,FALSE)</f>
        <v>#N/A</v>
      </c>
      <c r="I1054" s="7" t="e">
        <f>VLOOKUP(A1054,'1201-29周均耗用'!$A$1:$C$602,3,FALSE)</f>
        <v>#N/A</v>
      </c>
    </row>
    <row r="1055" spans="1:9">
      <c r="A1055" s="13" t="s">
        <v>2115</v>
      </c>
      <c r="B1055" s="14" t="s">
        <v>2116</v>
      </c>
      <c r="C1055" s="13">
        <v>0</v>
      </c>
      <c r="D1055" s="7">
        <f>IFERROR(VLOOKUP(A1055,'1227-29耗量'!$A$1:$C$602,3,FALSE),0)</f>
        <v>0</v>
      </c>
      <c r="E1055" s="7">
        <f t="shared" si="32"/>
        <v>0</v>
      </c>
      <c r="F1055" s="7" t="str">
        <f t="shared" si="33"/>
        <v>無資料</v>
      </c>
      <c r="G1055" s="7" t="e">
        <f>VLOOKUP(A1055,Sheet5!$A$2:$D$415,4,FALSE)</f>
        <v>#N/A</v>
      </c>
      <c r="H1055" s="7" t="e">
        <f>VLOOKUP(A1055,Sheet5!$A$2:$D$415,3,FALSE)</f>
        <v>#N/A</v>
      </c>
      <c r="I1055" s="7" t="e">
        <f>VLOOKUP(A1055,'1201-29周均耗用'!$A$1:$C$602,3,FALSE)</f>
        <v>#N/A</v>
      </c>
    </row>
    <row r="1056" spans="1:9">
      <c r="A1056" s="13" t="s">
        <v>2117</v>
      </c>
      <c r="B1056" s="14" t="s">
        <v>2118</v>
      </c>
      <c r="C1056" s="13">
        <v>10</v>
      </c>
      <c r="D1056" s="7">
        <f>IFERROR(VLOOKUP(A1056,'1227-29耗量'!$A$1:$C$602,3,FALSE),0)</f>
        <v>0</v>
      </c>
      <c r="E1056" s="7">
        <f t="shared" si="32"/>
        <v>10</v>
      </c>
      <c r="F1056" s="7" t="str">
        <f t="shared" si="33"/>
        <v>錯誤</v>
      </c>
      <c r="G1056" s="7">
        <f>VLOOKUP(A1056,Sheet5!$A$2:$D$415,4,FALSE)</f>
        <v>3</v>
      </c>
      <c r="H1056" s="7">
        <f>VLOOKUP(A1056,Sheet5!$A$2:$D$415,3,FALSE)</f>
        <v>6</v>
      </c>
      <c r="I1056" s="7">
        <f>VLOOKUP(A1056,'1201-29周均耗用'!$A$1:$C$602,3,FALSE)</f>
        <v>0.8</v>
      </c>
    </row>
    <row r="1057" spans="1:9">
      <c r="A1057" s="13" t="s">
        <v>2119</v>
      </c>
      <c r="B1057" s="14" t="s">
        <v>2120</v>
      </c>
      <c r="C1057" s="13">
        <v>0</v>
      </c>
      <c r="D1057" s="7">
        <f>IFERROR(VLOOKUP(A1057,'1227-29耗量'!$A$1:$C$602,3,FALSE),0)</f>
        <v>0</v>
      </c>
      <c r="E1057" s="7">
        <f t="shared" si="32"/>
        <v>0</v>
      </c>
      <c r="F1057" s="7" t="str">
        <f t="shared" si="33"/>
        <v>無資料</v>
      </c>
      <c r="G1057" s="7" t="e">
        <f>VLOOKUP(A1057,Sheet5!$A$2:$D$415,4,FALSE)</f>
        <v>#N/A</v>
      </c>
      <c r="H1057" s="7" t="e">
        <f>VLOOKUP(A1057,Sheet5!$A$2:$D$415,3,FALSE)</f>
        <v>#N/A</v>
      </c>
      <c r="I1057" s="7" t="e">
        <f>VLOOKUP(A1057,'1201-29周均耗用'!$A$1:$C$602,3,FALSE)</f>
        <v>#N/A</v>
      </c>
    </row>
    <row r="1058" spans="1:9">
      <c r="A1058" s="13" t="s">
        <v>2121</v>
      </c>
      <c r="B1058" s="14" t="s">
        <v>2122</v>
      </c>
      <c r="C1058" s="13">
        <v>150</v>
      </c>
      <c r="D1058" s="7">
        <f>IFERROR(VLOOKUP(A1058,'1227-29耗量'!$A$1:$C$602,3,FALSE),0)</f>
        <v>-4</v>
      </c>
      <c r="E1058" s="7">
        <f t="shared" si="32"/>
        <v>154</v>
      </c>
      <c r="F1058" s="7" t="str">
        <f t="shared" si="33"/>
        <v>無資料</v>
      </c>
      <c r="G1058" s="7" t="e">
        <f>VLOOKUP(A1058,Sheet5!$A$2:$D$415,4,FALSE)</f>
        <v>#N/A</v>
      </c>
      <c r="H1058" s="7" t="e">
        <f>VLOOKUP(A1058,Sheet5!$A$2:$D$415,3,FALSE)</f>
        <v>#N/A</v>
      </c>
      <c r="I1058" s="7">
        <f>VLOOKUP(A1058,'1201-29周均耗用'!$A$1:$C$602,3,FALSE)</f>
        <v>294</v>
      </c>
    </row>
    <row r="1059" spans="1:9">
      <c r="A1059" s="13" t="s">
        <v>2123</v>
      </c>
      <c r="B1059" s="14" t="s">
        <v>2124</v>
      </c>
      <c r="C1059" s="13">
        <v>1767</v>
      </c>
      <c r="D1059" s="7">
        <f>VLOOKUP(A1059,'1227-29耗量'!$A$1:$C$602,3,FALSE)</f>
        <v>112</v>
      </c>
      <c r="E1059" s="7">
        <f t="shared" si="32"/>
        <v>1655</v>
      </c>
      <c r="F1059" s="7" t="str">
        <f t="shared" si="33"/>
        <v>錯誤</v>
      </c>
      <c r="G1059" s="7">
        <f>VLOOKUP(A1059,Sheet5!$A$2:$D$415,4,FALSE)</f>
        <v>756</v>
      </c>
      <c r="H1059" s="7">
        <f>VLOOKUP(A1059,Sheet5!$A$2:$D$415,3,FALSE)</f>
        <v>2000</v>
      </c>
      <c r="I1059" s="7" t="e">
        <f>VLOOKUP(A1059,'1201-29周均耗用'!$A$1:$C$602,3,FALSE)</f>
        <v>#N/A</v>
      </c>
    </row>
    <row r="1060" spans="1:9">
      <c r="A1060" s="13" t="s">
        <v>2125</v>
      </c>
      <c r="B1060" s="14" t="s">
        <v>2126</v>
      </c>
      <c r="C1060" s="13">
        <v>8</v>
      </c>
      <c r="D1060" s="7">
        <f>IFERROR(VLOOKUP(A1060,'1227-29耗量'!$A$1:$C$602,3,FALSE),0)</f>
        <v>1</v>
      </c>
      <c r="E1060" s="7">
        <f t="shared" si="32"/>
        <v>7</v>
      </c>
      <c r="F1060" s="7" t="str">
        <f t="shared" si="33"/>
        <v>無資料</v>
      </c>
      <c r="G1060" s="7" t="e">
        <f>VLOOKUP(A1060,Sheet5!$A$2:$D$415,4,FALSE)</f>
        <v>#N/A</v>
      </c>
      <c r="H1060" s="7" t="e">
        <f>VLOOKUP(A1060,Sheet5!$A$2:$D$415,3,FALSE)</f>
        <v>#N/A</v>
      </c>
      <c r="I1060" s="7">
        <f>VLOOKUP(A1060,'1201-29周均耗用'!$A$1:$C$602,3,FALSE)</f>
        <v>1</v>
      </c>
    </row>
    <row r="1061" spans="1:9">
      <c r="A1061" s="13" t="s">
        <v>2127</v>
      </c>
      <c r="B1061" s="14" t="s">
        <v>2128</v>
      </c>
      <c r="C1061" s="13">
        <v>81</v>
      </c>
      <c r="D1061" s="7">
        <f>VLOOKUP(A1061,'1227-29耗量'!$A$1:$C$602,3,FALSE)</f>
        <v>1</v>
      </c>
      <c r="E1061" s="7">
        <f t="shared" si="32"/>
        <v>80</v>
      </c>
      <c r="F1061" s="7" t="str">
        <f t="shared" si="33"/>
        <v>錯誤</v>
      </c>
      <c r="G1061" s="7">
        <f>VLOOKUP(A1061,Sheet5!$A$2:$D$415,4,FALSE)</f>
        <v>-16</v>
      </c>
      <c r="H1061" s="7">
        <f>VLOOKUP(A1061,Sheet5!$A$2:$D$415,3,FALSE)</f>
        <v>48</v>
      </c>
      <c r="I1061" s="7">
        <f>VLOOKUP(A1061,'1201-29周均耗用'!$A$1:$C$602,3,FALSE)</f>
        <v>9.5</v>
      </c>
    </row>
    <row r="1062" spans="1:9">
      <c r="A1062" s="13" t="s">
        <v>2129</v>
      </c>
      <c r="B1062" s="14" t="s">
        <v>2130</v>
      </c>
      <c r="C1062" s="13">
        <v>2288</v>
      </c>
      <c r="D1062" s="7">
        <f>VLOOKUP(A1062,'1227-29耗量'!$A$1:$C$602,3,FALSE)</f>
        <v>125</v>
      </c>
      <c r="E1062" s="7">
        <f t="shared" si="32"/>
        <v>2163</v>
      </c>
      <c r="F1062" s="7" t="str">
        <f t="shared" si="33"/>
        <v>錯誤</v>
      </c>
      <c r="G1062" s="7">
        <f>VLOOKUP(A1062,Sheet5!$A$2:$D$415,4,FALSE)</f>
        <v>1129</v>
      </c>
      <c r="H1062" s="7">
        <f>VLOOKUP(A1062,Sheet5!$A$2:$D$415,3,FALSE)</f>
        <v>2000</v>
      </c>
      <c r="I1062" s="7" t="e">
        <f>VLOOKUP(A1062,'1201-29周均耗用'!$A$1:$C$602,3,FALSE)</f>
        <v>#N/A</v>
      </c>
    </row>
    <row r="1063" spans="1:9">
      <c r="A1063" s="13" t="s">
        <v>2131</v>
      </c>
      <c r="B1063" s="14" t="s">
        <v>2132</v>
      </c>
      <c r="C1063" s="13">
        <v>278</v>
      </c>
      <c r="D1063" s="7">
        <f>VLOOKUP(A1063,'1227-29耗量'!$A$1:$C$602,3,FALSE)</f>
        <v>14</v>
      </c>
      <c r="E1063" s="7">
        <f t="shared" si="32"/>
        <v>264</v>
      </c>
      <c r="F1063" s="7" t="str">
        <f t="shared" si="33"/>
        <v>錯誤</v>
      </c>
      <c r="G1063" s="7">
        <f>VLOOKUP(A1063,Sheet5!$A$2:$D$415,4,FALSE)</f>
        <v>195</v>
      </c>
      <c r="H1063" s="7">
        <f>VLOOKUP(A1063,Sheet5!$A$2:$D$415,3,FALSE)</f>
        <v>400</v>
      </c>
      <c r="I1063" s="7">
        <f>VLOOKUP(A1063,'1201-29周均耗用'!$A$1:$C$602,3,FALSE)</f>
        <v>102.5</v>
      </c>
    </row>
    <row r="1064" spans="1:9">
      <c r="A1064" s="13" t="s">
        <v>2133</v>
      </c>
      <c r="B1064" s="14" t="s">
        <v>2134</v>
      </c>
      <c r="C1064" s="13">
        <v>6</v>
      </c>
      <c r="D1064" s="7">
        <f>IFERROR(VLOOKUP(A1064,'1227-29耗量'!$A$1:$C$602,3,FALSE),0)</f>
        <v>0</v>
      </c>
      <c r="E1064" s="7">
        <f t="shared" si="32"/>
        <v>6</v>
      </c>
      <c r="F1064" s="7" t="str">
        <f t="shared" si="33"/>
        <v>錯誤</v>
      </c>
      <c r="G1064" s="7">
        <f>VLOOKUP(A1064,Sheet5!$A$2:$D$415,4,FALSE)</f>
        <v>31</v>
      </c>
      <c r="H1064" s="7">
        <f>VLOOKUP(A1064,Sheet5!$A$2:$D$415,3,FALSE)</f>
        <v>60</v>
      </c>
      <c r="I1064" s="7">
        <f>VLOOKUP(A1064,'1201-29周均耗用'!$A$1:$C$602,3,FALSE)</f>
        <v>8.5</v>
      </c>
    </row>
    <row r="1065" spans="1:9">
      <c r="A1065" s="13" t="s">
        <v>2135</v>
      </c>
      <c r="B1065" s="14" t="s">
        <v>2136</v>
      </c>
      <c r="C1065" s="13">
        <v>1087</v>
      </c>
      <c r="D1065" s="7">
        <f>VLOOKUP(A1065,'1227-29耗量'!$A$1:$C$602,3,FALSE)</f>
        <v>37</v>
      </c>
      <c r="E1065" s="7">
        <f t="shared" si="32"/>
        <v>1050</v>
      </c>
      <c r="F1065" s="7" t="str">
        <f t="shared" si="33"/>
        <v>錯誤</v>
      </c>
      <c r="G1065" s="7">
        <f>VLOOKUP(A1065,Sheet5!$A$2:$D$415,4,FALSE)</f>
        <v>720</v>
      </c>
      <c r="H1065" s="7">
        <f>VLOOKUP(A1065,Sheet5!$A$2:$D$415,3,FALSE)</f>
        <v>1200</v>
      </c>
      <c r="I1065" s="7">
        <f>VLOOKUP(A1065,'1201-29周均耗用'!$A$1:$C$602,3,FALSE)</f>
        <v>486.2</v>
      </c>
    </row>
    <row r="1066" spans="1:9">
      <c r="A1066" s="13" t="s">
        <v>2137</v>
      </c>
      <c r="B1066" s="14" t="s">
        <v>2138</v>
      </c>
      <c r="C1066" s="13">
        <v>10</v>
      </c>
      <c r="D1066" s="7">
        <f>IFERROR(VLOOKUP(A1066,'1227-29耗量'!$A$1:$C$602,3,FALSE),0)</f>
        <v>0</v>
      </c>
      <c r="E1066" s="7">
        <f t="shared" si="32"/>
        <v>10</v>
      </c>
      <c r="F1066" s="7" t="str">
        <f t="shared" si="33"/>
        <v>無資料</v>
      </c>
      <c r="G1066" s="7" t="e">
        <f>VLOOKUP(A1066,Sheet5!$A$2:$D$415,4,FALSE)</f>
        <v>#N/A</v>
      </c>
      <c r="H1066" s="7" t="e">
        <f>VLOOKUP(A1066,Sheet5!$A$2:$D$415,3,FALSE)</f>
        <v>#N/A</v>
      </c>
      <c r="I1066" s="7" t="e">
        <f>VLOOKUP(A1066,'1201-29周均耗用'!$A$1:$C$602,3,FALSE)</f>
        <v>#N/A</v>
      </c>
    </row>
    <row r="1067" spans="1:9">
      <c r="A1067" s="13" t="s">
        <v>2139</v>
      </c>
      <c r="B1067" s="14" t="s">
        <v>2140</v>
      </c>
      <c r="C1067" s="13">
        <v>0</v>
      </c>
      <c r="D1067" s="7">
        <f>IFERROR(VLOOKUP(A1067,'1227-29耗量'!$A$1:$C$602,3,FALSE),0)</f>
        <v>0</v>
      </c>
      <c r="E1067" s="7">
        <f t="shared" si="32"/>
        <v>0</v>
      </c>
      <c r="F1067" s="7" t="str">
        <f t="shared" si="33"/>
        <v>無資料</v>
      </c>
      <c r="G1067" s="7" t="e">
        <f>VLOOKUP(A1067,Sheet5!$A$2:$D$415,4,FALSE)</f>
        <v>#N/A</v>
      </c>
      <c r="H1067" s="7" t="e">
        <f>VLOOKUP(A1067,Sheet5!$A$2:$D$415,3,FALSE)</f>
        <v>#N/A</v>
      </c>
      <c r="I1067" s="7" t="e">
        <f>VLOOKUP(A1067,'1201-29周均耗用'!$A$1:$C$602,3,FALSE)</f>
        <v>#N/A</v>
      </c>
    </row>
    <row r="1068" spans="1:9">
      <c r="A1068" s="13" t="s">
        <v>2141</v>
      </c>
      <c r="B1068" s="14" t="s">
        <v>2142</v>
      </c>
      <c r="C1068" s="13">
        <v>230</v>
      </c>
      <c r="D1068" s="7">
        <f>IFERROR(VLOOKUP(A1068,'1227-29耗量'!$A$1:$C$602,3,FALSE),0)</f>
        <v>0</v>
      </c>
      <c r="E1068" s="7">
        <f t="shared" si="32"/>
        <v>230</v>
      </c>
      <c r="F1068" s="7" t="str">
        <f t="shared" si="33"/>
        <v>無資料</v>
      </c>
      <c r="G1068" s="7" t="e">
        <f>VLOOKUP(A1068,Sheet5!$A$2:$D$415,4,FALSE)</f>
        <v>#N/A</v>
      </c>
      <c r="H1068" s="7" t="e">
        <f>VLOOKUP(A1068,Sheet5!$A$2:$D$415,3,FALSE)</f>
        <v>#N/A</v>
      </c>
      <c r="I1068" s="7" t="e">
        <f>VLOOKUP(A1068,'1201-29周均耗用'!$A$1:$C$602,3,FALSE)</f>
        <v>#N/A</v>
      </c>
    </row>
    <row r="1069" spans="1:9">
      <c r="A1069" s="13" t="s">
        <v>2143</v>
      </c>
      <c r="B1069" s="14" t="s">
        <v>2144</v>
      </c>
      <c r="C1069" s="13">
        <v>0</v>
      </c>
      <c r="D1069" s="7">
        <f>IFERROR(VLOOKUP(A1069,'1227-29耗量'!$A$1:$C$602,3,FALSE),0)</f>
        <v>0</v>
      </c>
      <c r="E1069" s="7">
        <f t="shared" si="32"/>
        <v>0</v>
      </c>
      <c r="F1069" s="7" t="str">
        <f t="shared" si="33"/>
        <v>無資料</v>
      </c>
      <c r="G1069" s="7" t="e">
        <f>VLOOKUP(A1069,Sheet5!$A$2:$D$415,4,FALSE)</f>
        <v>#N/A</v>
      </c>
      <c r="H1069" s="7" t="e">
        <f>VLOOKUP(A1069,Sheet5!$A$2:$D$415,3,FALSE)</f>
        <v>#N/A</v>
      </c>
      <c r="I1069" s="7" t="e">
        <f>VLOOKUP(A1069,'1201-29周均耗用'!$A$1:$C$602,3,FALSE)</f>
        <v>#N/A</v>
      </c>
    </row>
    <row r="1070" spans="1:9">
      <c r="A1070" s="13" t="s">
        <v>2145</v>
      </c>
      <c r="B1070" s="14" t="s">
        <v>2146</v>
      </c>
      <c r="C1070" s="13">
        <v>0</v>
      </c>
      <c r="D1070" s="7">
        <f>IFERROR(VLOOKUP(A1070,'1227-29耗量'!$A$1:$C$602,3,FALSE),0)</f>
        <v>0</v>
      </c>
      <c r="E1070" s="7">
        <f t="shared" si="32"/>
        <v>0</v>
      </c>
      <c r="F1070" s="7" t="str">
        <f t="shared" si="33"/>
        <v>無資料</v>
      </c>
      <c r="G1070" s="7" t="e">
        <f>VLOOKUP(A1070,Sheet5!$A$2:$D$415,4,FALSE)</f>
        <v>#N/A</v>
      </c>
      <c r="H1070" s="7" t="e">
        <f>VLOOKUP(A1070,Sheet5!$A$2:$D$415,3,FALSE)</f>
        <v>#N/A</v>
      </c>
      <c r="I1070" s="7" t="e">
        <f>VLOOKUP(A1070,'1201-29周均耗用'!$A$1:$C$602,3,FALSE)</f>
        <v>#N/A</v>
      </c>
    </row>
    <row r="1071" spans="1:9">
      <c r="A1071" s="13" t="s">
        <v>2147</v>
      </c>
      <c r="B1071" s="14" t="s">
        <v>2148</v>
      </c>
      <c r="C1071" s="13">
        <v>8</v>
      </c>
      <c r="D1071" s="7">
        <f>IFERROR(VLOOKUP(A1071,'1227-29耗量'!$A$1:$C$602,3,FALSE),0)</f>
        <v>0</v>
      </c>
      <c r="E1071" s="7">
        <f t="shared" si="32"/>
        <v>8</v>
      </c>
      <c r="F1071" s="7" t="str">
        <f t="shared" si="33"/>
        <v>無資料</v>
      </c>
      <c r="G1071" s="7" t="e">
        <f>VLOOKUP(A1071,Sheet5!$A$2:$D$415,4,FALSE)</f>
        <v>#N/A</v>
      </c>
      <c r="H1071" s="7" t="e">
        <f>VLOOKUP(A1071,Sheet5!$A$2:$D$415,3,FALSE)</f>
        <v>#N/A</v>
      </c>
      <c r="I1071" s="7" t="e">
        <f>VLOOKUP(A1071,'1201-29周均耗用'!$A$1:$C$602,3,FALSE)</f>
        <v>#N/A</v>
      </c>
    </row>
    <row r="1072" spans="1:9">
      <c r="A1072" s="13" t="s">
        <v>2149</v>
      </c>
      <c r="B1072" s="14" t="s">
        <v>2150</v>
      </c>
      <c r="C1072" s="13">
        <v>572</v>
      </c>
      <c r="D1072" s="7">
        <f>IFERROR(VLOOKUP(A1072,'1227-29耗量'!$A$1:$C$602,3,FALSE),0)</f>
        <v>7</v>
      </c>
      <c r="E1072" s="7">
        <f t="shared" si="32"/>
        <v>565</v>
      </c>
      <c r="F1072" s="7" t="str">
        <f t="shared" si="33"/>
        <v>無資料</v>
      </c>
      <c r="G1072" s="7" t="e">
        <f>VLOOKUP(A1072,Sheet5!$A$2:$D$415,4,FALSE)</f>
        <v>#N/A</v>
      </c>
      <c r="H1072" s="7" t="e">
        <f>VLOOKUP(A1072,Sheet5!$A$2:$D$415,3,FALSE)</f>
        <v>#N/A</v>
      </c>
      <c r="I1072" s="7" t="e">
        <f>VLOOKUP(A1072,'1201-29周均耗用'!$A$1:$C$602,3,FALSE)</f>
        <v>#N/A</v>
      </c>
    </row>
    <row r="1073" spans="1:9">
      <c r="A1073" s="13" t="s">
        <v>2151</v>
      </c>
      <c r="B1073" s="14" t="s">
        <v>2152</v>
      </c>
      <c r="C1073" s="13">
        <v>0</v>
      </c>
      <c r="D1073" s="7">
        <f>IFERROR(VLOOKUP(A1073,'1227-29耗量'!$A$1:$C$602,3,FALSE),0)</f>
        <v>0</v>
      </c>
      <c r="E1073" s="7">
        <f t="shared" si="32"/>
        <v>0</v>
      </c>
      <c r="F1073" s="7" t="str">
        <f t="shared" si="33"/>
        <v>無資料</v>
      </c>
      <c r="G1073" s="7" t="e">
        <f>VLOOKUP(A1073,Sheet5!$A$2:$D$415,4,FALSE)</f>
        <v>#N/A</v>
      </c>
      <c r="H1073" s="7" t="e">
        <f>VLOOKUP(A1073,Sheet5!$A$2:$D$415,3,FALSE)</f>
        <v>#N/A</v>
      </c>
      <c r="I1073" s="7" t="e">
        <f>VLOOKUP(A1073,'1201-29周均耗用'!$A$1:$C$602,3,FALSE)</f>
        <v>#N/A</v>
      </c>
    </row>
    <row r="1074" spans="1:9">
      <c r="A1074" s="13" t="s">
        <v>2153</v>
      </c>
      <c r="B1074" s="14" t="s">
        <v>2154</v>
      </c>
      <c r="C1074" s="13">
        <v>23</v>
      </c>
      <c r="D1074" s="7">
        <f>IFERROR(VLOOKUP(A1074,'1227-29耗量'!$A$1:$C$602,3,FALSE),0)</f>
        <v>0</v>
      </c>
      <c r="E1074" s="7">
        <f t="shared" si="32"/>
        <v>23</v>
      </c>
      <c r="F1074" s="7" t="str">
        <f t="shared" si="33"/>
        <v>錯誤</v>
      </c>
      <c r="G1074" s="7">
        <f>VLOOKUP(A1074,Sheet5!$A$2:$D$415,4,FALSE)</f>
        <v>2</v>
      </c>
      <c r="H1074" s="7">
        <f>VLOOKUP(A1074,Sheet5!$A$2:$D$415,3,FALSE)</f>
        <v>20</v>
      </c>
      <c r="I1074" s="7" t="e">
        <f>VLOOKUP(A1074,'1201-29周均耗用'!$A$1:$C$602,3,FALSE)</f>
        <v>#N/A</v>
      </c>
    </row>
    <row r="1075" spans="1:9">
      <c r="A1075" s="13" t="s">
        <v>2155</v>
      </c>
      <c r="B1075" s="14" t="s">
        <v>2156</v>
      </c>
      <c r="C1075" s="13">
        <v>3</v>
      </c>
      <c r="D1075" s="7">
        <f>IFERROR(VLOOKUP(A1075,'1227-29耗量'!$A$1:$C$602,3,FALSE),0)</f>
        <v>0</v>
      </c>
      <c r="E1075" s="7">
        <f t="shared" si="32"/>
        <v>3</v>
      </c>
      <c r="F1075" s="7" t="str">
        <f t="shared" si="33"/>
        <v>無資料</v>
      </c>
      <c r="G1075" s="7" t="e">
        <f>VLOOKUP(A1075,Sheet5!$A$2:$D$415,4,FALSE)</f>
        <v>#N/A</v>
      </c>
      <c r="H1075" s="7" t="e">
        <f>VLOOKUP(A1075,Sheet5!$A$2:$D$415,3,FALSE)</f>
        <v>#N/A</v>
      </c>
      <c r="I1075" s="7" t="e">
        <f>VLOOKUP(A1075,'1201-29周均耗用'!$A$1:$C$602,3,FALSE)</f>
        <v>#N/A</v>
      </c>
    </row>
    <row r="1076" spans="1:9">
      <c r="A1076" s="13" t="s">
        <v>2157</v>
      </c>
      <c r="B1076" s="14" t="s">
        <v>2158</v>
      </c>
      <c r="C1076" s="13">
        <v>24</v>
      </c>
      <c r="D1076" s="7">
        <f>IFERROR(VLOOKUP(A1076,'1227-29耗量'!$A$1:$C$602,3,FALSE),0)</f>
        <v>0</v>
      </c>
      <c r="E1076" s="7">
        <f t="shared" si="32"/>
        <v>24</v>
      </c>
      <c r="F1076" s="7" t="str">
        <f t="shared" si="33"/>
        <v>錯誤</v>
      </c>
      <c r="G1076" s="7">
        <f>VLOOKUP(A1076,Sheet5!$A$2:$D$415,4,FALSE)</f>
        <v>5</v>
      </c>
      <c r="H1076" s="7">
        <f>VLOOKUP(A1076,Sheet5!$A$2:$D$415,3,FALSE)</f>
        <v>10</v>
      </c>
      <c r="I1076" s="7" t="e">
        <f>VLOOKUP(A1076,'1201-29周均耗用'!$A$1:$C$602,3,FALSE)</f>
        <v>#N/A</v>
      </c>
    </row>
    <row r="1077" spans="1:9">
      <c r="A1077" s="13" t="s">
        <v>2159</v>
      </c>
      <c r="B1077" s="14" t="s">
        <v>2160</v>
      </c>
      <c r="C1077" s="13">
        <v>0</v>
      </c>
      <c r="D1077" s="7">
        <f>IFERROR(VLOOKUP(A1077,'1227-29耗量'!$A$1:$C$602,3,FALSE),0)</f>
        <v>0</v>
      </c>
      <c r="E1077" s="7">
        <f t="shared" si="32"/>
        <v>0</v>
      </c>
      <c r="F1077" s="7" t="str">
        <f t="shared" si="33"/>
        <v>無資料</v>
      </c>
      <c r="G1077" s="7" t="e">
        <f>VLOOKUP(A1077,Sheet5!$A$2:$D$415,4,FALSE)</f>
        <v>#N/A</v>
      </c>
      <c r="H1077" s="7" t="e">
        <f>VLOOKUP(A1077,Sheet5!$A$2:$D$415,3,FALSE)</f>
        <v>#N/A</v>
      </c>
      <c r="I1077" s="7" t="e">
        <f>VLOOKUP(A1077,'1201-29周均耗用'!$A$1:$C$602,3,FALSE)</f>
        <v>#N/A</v>
      </c>
    </row>
    <row r="1078" spans="1:9">
      <c r="A1078" s="13" t="s">
        <v>2161</v>
      </c>
      <c r="B1078" s="14" t="s">
        <v>2162</v>
      </c>
      <c r="C1078" s="13">
        <v>3</v>
      </c>
      <c r="D1078" s="7">
        <f>IFERROR(VLOOKUP(A1078,'1227-29耗量'!$A$1:$C$602,3,FALSE),0)</f>
        <v>0</v>
      </c>
      <c r="E1078" s="7">
        <f t="shared" si="32"/>
        <v>3</v>
      </c>
      <c r="F1078" s="7" t="str">
        <f t="shared" si="33"/>
        <v>無資料</v>
      </c>
      <c r="G1078" s="7" t="e">
        <f>VLOOKUP(A1078,Sheet5!$A$2:$D$415,4,FALSE)</f>
        <v>#N/A</v>
      </c>
      <c r="H1078" s="7" t="e">
        <f>VLOOKUP(A1078,Sheet5!$A$2:$D$415,3,FALSE)</f>
        <v>#N/A</v>
      </c>
      <c r="I1078" s="7" t="e">
        <f>VLOOKUP(A1078,'1201-29周均耗用'!$A$1:$C$602,3,FALSE)</f>
        <v>#N/A</v>
      </c>
    </row>
    <row r="1079" spans="1:9">
      <c r="A1079" s="13" t="s">
        <v>2163</v>
      </c>
      <c r="B1079" s="14" t="s">
        <v>2164</v>
      </c>
      <c r="C1079" s="13">
        <v>0</v>
      </c>
      <c r="D1079" s="7">
        <f>IFERROR(VLOOKUP(A1079,'1227-29耗量'!$A$1:$C$602,3,FALSE),0)</f>
        <v>0</v>
      </c>
      <c r="E1079" s="7">
        <f t="shared" si="32"/>
        <v>0</v>
      </c>
      <c r="F1079" s="7" t="str">
        <f t="shared" si="33"/>
        <v>無資料</v>
      </c>
      <c r="G1079" s="7" t="e">
        <f>VLOOKUP(A1079,Sheet5!$A$2:$D$415,4,FALSE)</f>
        <v>#N/A</v>
      </c>
      <c r="H1079" s="7" t="e">
        <f>VLOOKUP(A1079,Sheet5!$A$2:$D$415,3,FALSE)</f>
        <v>#N/A</v>
      </c>
      <c r="I1079" s="7" t="e">
        <f>VLOOKUP(A1079,'1201-29周均耗用'!$A$1:$C$602,3,FALSE)</f>
        <v>#N/A</v>
      </c>
    </row>
    <row r="1080" spans="1:9">
      <c r="A1080" s="13" t="s">
        <v>2165</v>
      </c>
      <c r="B1080" s="14" t="s">
        <v>2166</v>
      </c>
      <c r="C1080" s="13">
        <v>2595</v>
      </c>
      <c r="D1080" s="7">
        <f>VLOOKUP(A1080,'1227-29耗量'!$A$1:$C$602,3,FALSE)</f>
        <v>87</v>
      </c>
      <c r="E1080" s="7">
        <f t="shared" si="32"/>
        <v>2508</v>
      </c>
      <c r="F1080" s="7" t="str">
        <f t="shared" si="33"/>
        <v>錯誤</v>
      </c>
      <c r="G1080" s="7">
        <f>VLOOKUP(A1080,Sheet5!$A$2:$D$415,4,FALSE)</f>
        <v>1623</v>
      </c>
      <c r="H1080" s="7">
        <f>VLOOKUP(A1080,Sheet5!$A$2:$D$415,3,FALSE)</f>
        <v>4100</v>
      </c>
      <c r="I1080" s="7">
        <f>VLOOKUP(A1080,'1201-29周均耗用'!$A$1:$C$602,3,FALSE)</f>
        <v>1231.2</v>
      </c>
    </row>
    <row r="1081" spans="1:9">
      <c r="A1081" s="13" t="s">
        <v>2167</v>
      </c>
      <c r="B1081" s="14" t="s">
        <v>2168</v>
      </c>
      <c r="C1081" s="13">
        <v>1512</v>
      </c>
      <c r="D1081" s="7">
        <f>VLOOKUP(A1081,'1227-29耗量'!$A$1:$C$602,3,FALSE)</f>
        <v>45</v>
      </c>
      <c r="E1081" s="7">
        <f t="shared" si="32"/>
        <v>1467</v>
      </c>
      <c r="F1081" s="7" t="str">
        <f t="shared" si="33"/>
        <v>錯誤</v>
      </c>
      <c r="G1081" s="7">
        <f>VLOOKUP(A1081,Sheet5!$A$2:$D$415,4,FALSE)</f>
        <v>465</v>
      </c>
      <c r="H1081" s="7">
        <f>VLOOKUP(A1081,Sheet5!$A$2:$D$415,3,FALSE)</f>
        <v>1000</v>
      </c>
      <c r="I1081" s="7" t="e">
        <f>VLOOKUP(A1081,'1201-29周均耗用'!$A$1:$C$602,3,FALSE)</f>
        <v>#N/A</v>
      </c>
    </row>
    <row r="1082" spans="1:9">
      <c r="A1082" s="13" t="s">
        <v>2169</v>
      </c>
      <c r="B1082" s="14" t="s">
        <v>2170</v>
      </c>
      <c r="C1082" s="13">
        <v>208</v>
      </c>
      <c r="D1082" s="7">
        <f>IFERROR(VLOOKUP(A1082,'1227-29耗量'!$A$1:$C$602,3,FALSE),0)</f>
        <v>0</v>
      </c>
      <c r="E1082" s="7">
        <f t="shared" si="32"/>
        <v>208</v>
      </c>
      <c r="F1082" s="7" t="str">
        <f t="shared" si="33"/>
        <v>錯誤</v>
      </c>
      <c r="G1082" s="7">
        <f>VLOOKUP(A1082,Sheet5!$A$2:$D$415,4,FALSE)</f>
        <v>58</v>
      </c>
      <c r="H1082" s="7">
        <f>VLOOKUP(A1082,Sheet5!$A$2:$D$415,3,FALSE)</f>
        <v>60</v>
      </c>
      <c r="I1082" s="7" t="e">
        <f>VLOOKUP(A1082,'1201-29周均耗用'!$A$1:$C$602,3,FALSE)</f>
        <v>#N/A</v>
      </c>
    </row>
    <row r="1083" spans="1:9">
      <c r="A1083" s="13" t="s">
        <v>2171</v>
      </c>
      <c r="B1083" s="14" t="s">
        <v>2172</v>
      </c>
      <c r="C1083" s="13">
        <v>0</v>
      </c>
      <c r="D1083" s="7">
        <f>IFERROR(VLOOKUP(A1083,'1227-29耗量'!$A$1:$C$602,3,FALSE),0)</f>
        <v>0</v>
      </c>
      <c r="E1083" s="7">
        <f t="shared" si="32"/>
        <v>0</v>
      </c>
      <c r="F1083" s="7" t="str">
        <f t="shared" si="33"/>
        <v>無資料</v>
      </c>
      <c r="G1083" s="7" t="e">
        <f>VLOOKUP(A1083,Sheet5!$A$2:$D$415,4,FALSE)</f>
        <v>#N/A</v>
      </c>
      <c r="H1083" s="7" t="e">
        <f>VLOOKUP(A1083,Sheet5!$A$2:$D$415,3,FALSE)</f>
        <v>#N/A</v>
      </c>
      <c r="I1083" s="7" t="e">
        <f>VLOOKUP(A1083,'1201-29周均耗用'!$A$1:$C$602,3,FALSE)</f>
        <v>#N/A</v>
      </c>
    </row>
    <row r="1084" spans="1:9">
      <c r="A1084" s="13" t="s">
        <v>2173</v>
      </c>
      <c r="B1084" s="14" t="s">
        <v>2174</v>
      </c>
      <c r="C1084" s="13">
        <v>0</v>
      </c>
      <c r="D1084" s="7">
        <f>IFERROR(VLOOKUP(A1084,'1227-29耗量'!$A$1:$C$602,3,FALSE),0)</f>
        <v>0</v>
      </c>
      <c r="E1084" s="7">
        <f t="shared" si="32"/>
        <v>0</v>
      </c>
      <c r="F1084" s="7" t="str">
        <f t="shared" si="33"/>
        <v>無資料</v>
      </c>
      <c r="G1084" s="7" t="e">
        <f>VLOOKUP(A1084,Sheet5!$A$2:$D$415,4,FALSE)</f>
        <v>#N/A</v>
      </c>
      <c r="H1084" s="7" t="e">
        <f>VLOOKUP(A1084,Sheet5!$A$2:$D$415,3,FALSE)</f>
        <v>#N/A</v>
      </c>
      <c r="I1084" s="7" t="e">
        <f>VLOOKUP(A1084,'1201-29周均耗用'!$A$1:$C$602,3,FALSE)</f>
        <v>#N/A</v>
      </c>
    </row>
    <row r="1085" spans="1:9">
      <c r="A1085" s="13" t="s">
        <v>2175</v>
      </c>
      <c r="B1085" s="14" t="s">
        <v>2176</v>
      </c>
      <c r="C1085" s="13">
        <v>756</v>
      </c>
      <c r="D1085" s="7">
        <f>IFERROR(VLOOKUP(A1085,'1227-29耗量'!$A$1:$C$602,3,FALSE),0)</f>
        <v>12</v>
      </c>
      <c r="E1085" s="7">
        <f t="shared" si="32"/>
        <v>744</v>
      </c>
      <c r="F1085" s="7" t="str">
        <f t="shared" si="33"/>
        <v>無資料</v>
      </c>
      <c r="G1085" s="7" t="e">
        <f>VLOOKUP(A1085,Sheet5!$A$2:$D$415,4,FALSE)</f>
        <v>#N/A</v>
      </c>
      <c r="H1085" s="7" t="e">
        <f>VLOOKUP(A1085,Sheet5!$A$2:$D$415,3,FALSE)</f>
        <v>#N/A</v>
      </c>
      <c r="I1085" s="7" t="e">
        <f>VLOOKUP(A1085,'1201-29周均耗用'!$A$1:$C$602,3,FALSE)</f>
        <v>#N/A</v>
      </c>
    </row>
    <row r="1086" spans="1:9">
      <c r="A1086" s="13" t="s">
        <v>2177</v>
      </c>
      <c r="B1086" s="14" t="s">
        <v>2178</v>
      </c>
      <c r="C1086" s="13">
        <v>0</v>
      </c>
      <c r="D1086" s="7">
        <f>IFERROR(VLOOKUP(A1086,'1227-29耗量'!$A$1:$C$602,3,FALSE),0)</f>
        <v>0</v>
      </c>
      <c r="E1086" s="7">
        <f t="shared" si="32"/>
        <v>0</v>
      </c>
      <c r="F1086" s="7" t="str">
        <f t="shared" si="33"/>
        <v>無資料</v>
      </c>
      <c r="G1086" s="7" t="e">
        <f>VLOOKUP(A1086,Sheet5!$A$2:$D$415,4,FALSE)</f>
        <v>#N/A</v>
      </c>
      <c r="H1086" s="7" t="e">
        <f>VLOOKUP(A1086,Sheet5!$A$2:$D$415,3,FALSE)</f>
        <v>#N/A</v>
      </c>
      <c r="I1086" s="7" t="e">
        <f>VLOOKUP(A1086,'1201-29周均耗用'!$A$1:$C$602,3,FALSE)</f>
        <v>#N/A</v>
      </c>
    </row>
    <row r="1087" spans="1:9">
      <c r="A1087" s="13" t="s">
        <v>2179</v>
      </c>
      <c r="B1087" s="14" t="s">
        <v>2180</v>
      </c>
      <c r="C1087" s="13">
        <v>3097</v>
      </c>
      <c r="D1087" s="7">
        <f>VLOOKUP(A1087,'1227-29耗量'!$A$1:$C$602,3,FALSE)</f>
        <v>167</v>
      </c>
      <c r="E1087" s="7">
        <f t="shared" si="32"/>
        <v>2930</v>
      </c>
      <c r="F1087" s="7" t="str">
        <f t="shared" si="33"/>
        <v>錯誤</v>
      </c>
      <c r="G1087" s="7">
        <f>VLOOKUP(A1087,Sheet5!$A$2:$D$415,4,FALSE)</f>
        <v>1829</v>
      </c>
      <c r="H1087" s="7">
        <f>VLOOKUP(A1087,Sheet5!$A$2:$D$415,3,FALSE)</f>
        <v>3000</v>
      </c>
      <c r="I1087" s="7" t="e">
        <f>VLOOKUP(A1087,'1201-29周均耗用'!$A$1:$C$602,3,FALSE)</f>
        <v>#N/A</v>
      </c>
    </row>
    <row r="1088" spans="1:9">
      <c r="A1088" s="13" t="s">
        <v>2181</v>
      </c>
      <c r="B1088" s="14" t="s">
        <v>2182</v>
      </c>
      <c r="C1088" s="13">
        <v>0</v>
      </c>
      <c r="D1088" s="7">
        <f>IFERROR(VLOOKUP(A1088,'1227-29耗量'!$A$1:$C$602,3,FALSE),0)</f>
        <v>0</v>
      </c>
      <c r="E1088" s="7">
        <f t="shared" si="32"/>
        <v>0</v>
      </c>
      <c r="F1088" s="7" t="str">
        <f t="shared" si="33"/>
        <v>無資料</v>
      </c>
      <c r="G1088" s="7" t="e">
        <f>VLOOKUP(A1088,Sheet5!$A$2:$D$415,4,FALSE)</f>
        <v>#N/A</v>
      </c>
      <c r="H1088" s="7" t="e">
        <f>VLOOKUP(A1088,Sheet5!$A$2:$D$415,3,FALSE)</f>
        <v>#N/A</v>
      </c>
      <c r="I1088" s="7" t="e">
        <f>VLOOKUP(A1088,'1201-29周均耗用'!$A$1:$C$602,3,FALSE)</f>
        <v>#N/A</v>
      </c>
    </row>
    <row r="1089" spans="1:9">
      <c r="A1089" s="13" t="s">
        <v>2183</v>
      </c>
      <c r="B1089" s="14" t="s">
        <v>2184</v>
      </c>
      <c r="C1089" s="13">
        <v>0</v>
      </c>
      <c r="D1089" s="7">
        <f>IFERROR(VLOOKUP(A1089,'1227-29耗量'!$A$1:$C$602,3,FALSE),0)</f>
        <v>0</v>
      </c>
      <c r="E1089" s="7">
        <f t="shared" si="32"/>
        <v>0</v>
      </c>
      <c r="F1089" s="7" t="str">
        <f t="shared" si="33"/>
        <v>無資料</v>
      </c>
      <c r="G1089" s="7" t="e">
        <f>VLOOKUP(A1089,Sheet5!$A$2:$D$415,4,FALSE)</f>
        <v>#N/A</v>
      </c>
      <c r="H1089" s="7" t="e">
        <f>VLOOKUP(A1089,Sheet5!$A$2:$D$415,3,FALSE)</f>
        <v>#N/A</v>
      </c>
      <c r="I1089" s="7" t="e">
        <f>VLOOKUP(A1089,'1201-29周均耗用'!$A$1:$C$602,3,FALSE)</f>
        <v>#N/A</v>
      </c>
    </row>
    <row r="1090" spans="1:9">
      <c r="A1090" s="13" t="s">
        <v>2185</v>
      </c>
      <c r="B1090" s="14" t="s">
        <v>2186</v>
      </c>
      <c r="C1090" s="13">
        <v>167</v>
      </c>
      <c r="D1090" s="7">
        <f>VLOOKUP(A1090,'1227-29耗量'!$A$1:$C$602,3,FALSE)</f>
        <v>-2</v>
      </c>
      <c r="E1090" s="7">
        <f t="shared" si="32"/>
        <v>169</v>
      </c>
      <c r="F1090" s="7" t="str">
        <f t="shared" si="33"/>
        <v>錯誤</v>
      </c>
      <c r="G1090" s="7">
        <f>VLOOKUP(A1090,Sheet5!$A$2:$D$415,4,FALSE)</f>
        <v>81</v>
      </c>
      <c r="H1090" s="7">
        <f>VLOOKUP(A1090,Sheet5!$A$2:$D$415,3,FALSE)</f>
        <v>450</v>
      </c>
      <c r="I1090" s="7">
        <f>VLOOKUP(A1090,'1201-29周均耗用'!$A$1:$C$602,3,FALSE)</f>
        <v>136.5</v>
      </c>
    </row>
    <row r="1091" spans="1:9">
      <c r="A1091" s="13" t="s">
        <v>2187</v>
      </c>
      <c r="B1091" s="14" t="s">
        <v>2188</v>
      </c>
      <c r="C1091" s="13">
        <v>2447</v>
      </c>
      <c r="D1091" s="7">
        <f>VLOOKUP(A1091,'1227-29耗量'!$A$1:$C$602,3,FALSE)</f>
        <v>143</v>
      </c>
      <c r="E1091" s="7">
        <f t="shared" ref="E1091:E1154" si="34">C1091-D1091</f>
        <v>2304</v>
      </c>
      <c r="F1091" s="7" t="str">
        <f t="shared" ref="F1091:F1154" si="35">IFERROR(IF(E1091=G1091,"OK","錯誤"),"無資料")</f>
        <v>錯誤</v>
      </c>
      <c r="G1091" s="7">
        <f>VLOOKUP(A1091,Sheet5!$A$2:$D$415,4,FALSE)</f>
        <v>1144</v>
      </c>
      <c r="H1091" s="7">
        <f>VLOOKUP(A1091,Sheet5!$A$2:$D$415,3,FALSE)</f>
        <v>2100</v>
      </c>
      <c r="I1091" s="7">
        <f>VLOOKUP(A1091,'1201-29周均耗用'!$A$1:$C$602,3,FALSE)</f>
        <v>820.5</v>
      </c>
    </row>
    <row r="1092" spans="1:9">
      <c r="A1092" s="13" t="s">
        <v>2189</v>
      </c>
      <c r="B1092" s="14" t="s">
        <v>2190</v>
      </c>
      <c r="C1092" s="13">
        <v>969</v>
      </c>
      <c r="D1092" s="7">
        <f>IFERROR(VLOOKUP(A1092,'1227-29耗量'!$A$1:$C$602,3,FALSE),0)</f>
        <v>1</v>
      </c>
      <c r="E1092" s="7">
        <f t="shared" si="34"/>
        <v>968</v>
      </c>
      <c r="F1092" s="7" t="str">
        <f t="shared" si="35"/>
        <v>無資料</v>
      </c>
      <c r="G1092" s="7" t="e">
        <f>VLOOKUP(A1092,Sheet5!$A$2:$D$415,4,FALSE)</f>
        <v>#N/A</v>
      </c>
      <c r="H1092" s="7" t="e">
        <f>VLOOKUP(A1092,Sheet5!$A$2:$D$415,3,FALSE)</f>
        <v>#N/A</v>
      </c>
      <c r="I1092" s="7" t="e">
        <f>VLOOKUP(A1092,'1201-29周均耗用'!$A$1:$C$602,3,FALSE)</f>
        <v>#N/A</v>
      </c>
    </row>
    <row r="1093" spans="1:9">
      <c r="A1093" s="13" t="s">
        <v>2191</v>
      </c>
      <c r="B1093" s="14" t="s">
        <v>2192</v>
      </c>
      <c r="C1093" s="13">
        <v>0</v>
      </c>
      <c r="D1093" s="7">
        <f>IFERROR(VLOOKUP(A1093,'1227-29耗量'!$A$1:$C$602,3,FALSE),0)</f>
        <v>0</v>
      </c>
      <c r="E1093" s="7">
        <f t="shared" si="34"/>
        <v>0</v>
      </c>
      <c r="F1093" s="7" t="str">
        <f t="shared" si="35"/>
        <v>無資料</v>
      </c>
      <c r="G1093" s="7" t="e">
        <f>VLOOKUP(A1093,Sheet5!$A$2:$D$415,4,FALSE)</f>
        <v>#N/A</v>
      </c>
      <c r="H1093" s="7" t="e">
        <f>VLOOKUP(A1093,Sheet5!$A$2:$D$415,3,FALSE)</f>
        <v>#N/A</v>
      </c>
      <c r="I1093" s="7" t="e">
        <f>VLOOKUP(A1093,'1201-29周均耗用'!$A$1:$C$602,3,FALSE)</f>
        <v>#N/A</v>
      </c>
    </row>
    <row r="1094" spans="1:9">
      <c r="A1094" s="13" t="s">
        <v>2193</v>
      </c>
      <c r="B1094" s="14" t="s">
        <v>2194</v>
      </c>
      <c r="C1094" s="13">
        <v>208</v>
      </c>
      <c r="D1094" s="7">
        <f>IFERROR(VLOOKUP(A1094,'1227-29耗量'!$A$1:$C$602,3,FALSE),0)</f>
        <v>0</v>
      </c>
      <c r="E1094" s="7">
        <f t="shared" si="34"/>
        <v>208</v>
      </c>
      <c r="F1094" s="7" t="str">
        <f t="shared" si="35"/>
        <v>無資料</v>
      </c>
      <c r="G1094" s="7" t="e">
        <f>VLOOKUP(A1094,Sheet5!$A$2:$D$415,4,FALSE)</f>
        <v>#N/A</v>
      </c>
      <c r="H1094" s="7" t="e">
        <f>VLOOKUP(A1094,Sheet5!$A$2:$D$415,3,FALSE)</f>
        <v>#N/A</v>
      </c>
      <c r="I1094" s="7" t="e">
        <f>VLOOKUP(A1094,'1201-29周均耗用'!$A$1:$C$602,3,FALSE)</f>
        <v>#N/A</v>
      </c>
    </row>
    <row r="1095" spans="1:9">
      <c r="A1095" s="13" t="s">
        <v>2195</v>
      </c>
      <c r="B1095" s="14" t="s">
        <v>2196</v>
      </c>
      <c r="C1095" s="13">
        <v>248</v>
      </c>
      <c r="D1095" s="7">
        <f>VLOOKUP(A1095,'1227-29耗量'!$A$1:$C$602,3,FALSE)</f>
        <v>5</v>
      </c>
      <c r="E1095" s="7">
        <f t="shared" si="34"/>
        <v>243</v>
      </c>
      <c r="F1095" s="7" t="str">
        <f t="shared" si="35"/>
        <v>錯誤</v>
      </c>
      <c r="G1095" s="7">
        <f>VLOOKUP(A1095,Sheet5!$A$2:$D$415,4,FALSE)</f>
        <v>130</v>
      </c>
      <c r="H1095" s="7">
        <f>VLOOKUP(A1095,Sheet5!$A$2:$D$415,3,FALSE)</f>
        <v>270</v>
      </c>
      <c r="I1095" s="7">
        <f>VLOOKUP(A1095,'1201-29周均耗用'!$A$1:$C$602,3,FALSE)</f>
        <v>91.5</v>
      </c>
    </row>
    <row r="1096" spans="1:9">
      <c r="A1096" s="13" t="s">
        <v>2197</v>
      </c>
      <c r="B1096" s="14" t="s">
        <v>2198</v>
      </c>
      <c r="C1096" s="13">
        <v>0</v>
      </c>
      <c r="D1096" s="7">
        <f>IFERROR(VLOOKUP(A1096,'1227-29耗量'!$A$1:$C$602,3,FALSE),0)</f>
        <v>0</v>
      </c>
      <c r="E1096" s="7">
        <f t="shared" si="34"/>
        <v>0</v>
      </c>
      <c r="F1096" s="7" t="str">
        <f t="shared" si="35"/>
        <v>無資料</v>
      </c>
      <c r="G1096" s="7" t="e">
        <f>VLOOKUP(A1096,Sheet5!$A$2:$D$415,4,FALSE)</f>
        <v>#N/A</v>
      </c>
      <c r="H1096" s="7" t="e">
        <f>VLOOKUP(A1096,Sheet5!$A$2:$D$415,3,FALSE)</f>
        <v>#N/A</v>
      </c>
      <c r="I1096" s="7" t="e">
        <f>VLOOKUP(A1096,'1201-29周均耗用'!$A$1:$C$602,3,FALSE)</f>
        <v>#N/A</v>
      </c>
    </row>
    <row r="1097" spans="1:9">
      <c r="A1097" s="13" t="s">
        <v>2199</v>
      </c>
      <c r="B1097" s="14" t="s">
        <v>2200</v>
      </c>
      <c r="C1097" s="13">
        <v>0</v>
      </c>
      <c r="D1097" s="7">
        <f>IFERROR(VLOOKUP(A1097,'1227-29耗量'!$A$1:$C$602,3,FALSE),0)</f>
        <v>0</v>
      </c>
      <c r="E1097" s="7">
        <f t="shared" si="34"/>
        <v>0</v>
      </c>
      <c r="F1097" s="7" t="str">
        <f t="shared" si="35"/>
        <v>無資料</v>
      </c>
      <c r="G1097" s="7" t="e">
        <f>VLOOKUP(A1097,Sheet5!$A$2:$D$415,4,FALSE)</f>
        <v>#N/A</v>
      </c>
      <c r="H1097" s="7" t="e">
        <f>VLOOKUP(A1097,Sheet5!$A$2:$D$415,3,FALSE)</f>
        <v>#N/A</v>
      </c>
      <c r="I1097" s="7" t="e">
        <f>VLOOKUP(A1097,'1201-29周均耗用'!$A$1:$C$602,3,FALSE)</f>
        <v>#N/A</v>
      </c>
    </row>
    <row r="1098" spans="1:9">
      <c r="A1098" s="13" t="s">
        <v>2201</v>
      </c>
      <c r="B1098" s="14" t="s">
        <v>2202</v>
      </c>
      <c r="C1098" s="13">
        <v>0</v>
      </c>
      <c r="D1098" s="7">
        <f>IFERROR(VLOOKUP(A1098,'1227-29耗量'!$A$1:$C$602,3,FALSE),0)</f>
        <v>0</v>
      </c>
      <c r="E1098" s="7">
        <f t="shared" si="34"/>
        <v>0</v>
      </c>
      <c r="F1098" s="7" t="str">
        <f t="shared" si="35"/>
        <v>無資料</v>
      </c>
      <c r="G1098" s="7" t="e">
        <f>VLOOKUP(A1098,Sheet5!$A$2:$D$415,4,FALSE)</f>
        <v>#N/A</v>
      </c>
      <c r="H1098" s="7" t="e">
        <f>VLOOKUP(A1098,Sheet5!$A$2:$D$415,3,FALSE)</f>
        <v>#N/A</v>
      </c>
      <c r="I1098" s="7" t="e">
        <f>VLOOKUP(A1098,'1201-29周均耗用'!$A$1:$C$602,3,FALSE)</f>
        <v>#N/A</v>
      </c>
    </row>
    <row r="1099" spans="1:9">
      <c r="A1099" s="13" t="s">
        <v>2203</v>
      </c>
      <c r="B1099" s="14" t="s">
        <v>2204</v>
      </c>
      <c r="C1099" s="13">
        <v>1142</v>
      </c>
      <c r="D1099" s="7">
        <f>IFERROR(VLOOKUP(A1099,'1227-29耗量'!$A$1:$C$602,3,FALSE),0)</f>
        <v>8</v>
      </c>
      <c r="E1099" s="7">
        <f t="shared" si="34"/>
        <v>1134</v>
      </c>
      <c r="F1099" s="7" t="str">
        <f t="shared" si="35"/>
        <v>無資料</v>
      </c>
      <c r="G1099" s="7" t="e">
        <f>VLOOKUP(A1099,Sheet5!$A$2:$D$415,4,FALSE)</f>
        <v>#N/A</v>
      </c>
      <c r="H1099" s="7" t="e">
        <f>VLOOKUP(A1099,Sheet5!$A$2:$D$415,3,FALSE)</f>
        <v>#N/A</v>
      </c>
      <c r="I1099" s="7" t="e">
        <f>VLOOKUP(A1099,'1201-29周均耗用'!$A$1:$C$602,3,FALSE)</f>
        <v>#N/A</v>
      </c>
    </row>
    <row r="1100" spans="1:9">
      <c r="A1100" s="13" t="s">
        <v>2205</v>
      </c>
      <c r="B1100" s="14" t="s">
        <v>2206</v>
      </c>
      <c r="C1100" s="13">
        <v>0</v>
      </c>
      <c r="D1100" s="7">
        <f>IFERROR(VLOOKUP(A1100,'1227-29耗量'!$A$1:$C$602,3,FALSE),0)</f>
        <v>0</v>
      </c>
      <c r="E1100" s="7">
        <f t="shared" si="34"/>
        <v>0</v>
      </c>
      <c r="F1100" s="7" t="str">
        <f t="shared" si="35"/>
        <v>無資料</v>
      </c>
      <c r="G1100" s="7" t="e">
        <f>VLOOKUP(A1100,Sheet5!$A$2:$D$415,4,FALSE)</f>
        <v>#N/A</v>
      </c>
      <c r="H1100" s="7" t="e">
        <f>VLOOKUP(A1100,Sheet5!$A$2:$D$415,3,FALSE)</f>
        <v>#N/A</v>
      </c>
      <c r="I1100" s="7" t="e">
        <f>VLOOKUP(A1100,'1201-29周均耗用'!$A$1:$C$602,3,FALSE)</f>
        <v>#N/A</v>
      </c>
    </row>
    <row r="1101" spans="1:9">
      <c r="A1101" s="13" t="s">
        <v>2207</v>
      </c>
      <c r="B1101" s="14" t="s">
        <v>2208</v>
      </c>
      <c r="C1101" s="13">
        <v>0</v>
      </c>
      <c r="D1101" s="7">
        <f>IFERROR(VLOOKUP(A1101,'1227-29耗量'!$A$1:$C$602,3,FALSE),0)</f>
        <v>0</v>
      </c>
      <c r="E1101" s="7">
        <f t="shared" si="34"/>
        <v>0</v>
      </c>
      <c r="F1101" s="7" t="str">
        <f t="shared" si="35"/>
        <v>無資料</v>
      </c>
      <c r="G1101" s="7" t="e">
        <f>VLOOKUP(A1101,Sheet5!$A$2:$D$415,4,FALSE)</f>
        <v>#N/A</v>
      </c>
      <c r="H1101" s="7" t="e">
        <f>VLOOKUP(A1101,Sheet5!$A$2:$D$415,3,FALSE)</f>
        <v>#N/A</v>
      </c>
      <c r="I1101" s="7" t="e">
        <f>VLOOKUP(A1101,'1201-29周均耗用'!$A$1:$C$602,3,FALSE)</f>
        <v>#N/A</v>
      </c>
    </row>
    <row r="1102" spans="1:9">
      <c r="A1102" s="13" t="s">
        <v>2209</v>
      </c>
      <c r="B1102" s="14" t="s">
        <v>2210</v>
      </c>
      <c r="C1102" s="13">
        <v>3</v>
      </c>
      <c r="D1102" s="7">
        <f>IFERROR(VLOOKUP(A1102,'1227-29耗量'!$A$1:$C$602,3,FALSE),0)</f>
        <v>0</v>
      </c>
      <c r="E1102" s="7">
        <f t="shared" si="34"/>
        <v>3</v>
      </c>
      <c r="F1102" s="7" t="str">
        <f t="shared" si="35"/>
        <v>無資料</v>
      </c>
      <c r="G1102" s="7" t="e">
        <f>VLOOKUP(A1102,Sheet5!$A$2:$D$415,4,FALSE)</f>
        <v>#N/A</v>
      </c>
      <c r="H1102" s="7" t="e">
        <f>VLOOKUP(A1102,Sheet5!$A$2:$D$415,3,FALSE)</f>
        <v>#N/A</v>
      </c>
      <c r="I1102" s="7" t="e">
        <f>VLOOKUP(A1102,'1201-29周均耗用'!$A$1:$C$602,3,FALSE)</f>
        <v>#N/A</v>
      </c>
    </row>
    <row r="1103" spans="1:9">
      <c r="A1103" s="13" t="s">
        <v>2211</v>
      </c>
      <c r="B1103" s="14" t="s">
        <v>2212</v>
      </c>
      <c r="C1103" s="13">
        <v>32</v>
      </c>
      <c r="D1103" s="7">
        <f>VLOOKUP(A1103,'1227-29耗量'!$A$1:$C$602,3,FALSE)</f>
        <v>2</v>
      </c>
      <c r="E1103" s="7">
        <f t="shared" si="34"/>
        <v>30</v>
      </c>
      <c r="F1103" s="7" t="str">
        <f t="shared" si="35"/>
        <v>錯誤</v>
      </c>
      <c r="G1103" s="7">
        <f>VLOOKUP(A1103,Sheet5!$A$2:$D$415,4,FALSE)</f>
        <v>24</v>
      </c>
      <c r="H1103" s="7">
        <f>VLOOKUP(A1103,Sheet5!$A$2:$D$415,3,FALSE)</f>
        <v>14</v>
      </c>
      <c r="I1103" s="7" t="e">
        <f>VLOOKUP(A1103,'1201-29周均耗用'!$A$1:$C$602,3,FALSE)</f>
        <v>#N/A</v>
      </c>
    </row>
    <row r="1104" spans="1:9">
      <c r="A1104" s="13" t="s">
        <v>2213</v>
      </c>
      <c r="B1104" s="14" t="s">
        <v>2214</v>
      </c>
      <c r="C1104" s="13">
        <v>21</v>
      </c>
      <c r="D1104" s="7">
        <f>IFERROR(VLOOKUP(A1104,'1227-29耗量'!$A$1:$C$602,3,FALSE),0)</f>
        <v>0</v>
      </c>
      <c r="E1104" s="7">
        <f t="shared" si="34"/>
        <v>21</v>
      </c>
      <c r="F1104" s="7" t="str">
        <f t="shared" si="35"/>
        <v>無資料</v>
      </c>
      <c r="G1104" s="7" t="e">
        <f>VLOOKUP(A1104,Sheet5!$A$2:$D$415,4,FALSE)</f>
        <v>#N/A</v>
      </c>
      <c r="H1104" s="7" t="e">
        <f>VLOOKUP(A1104,Sheet5!$A$2:$D$415,3,FALSE)</f>
        <v>#N/A</v>
      </c>
      <c r="I1104" s="7" t="e">
        <f>VLOOKUP(A1104,'1201-29周均耗用'!$A$1:$C$602,3,FALSE)</f>
        <v>#N/A</v>
      </c>
    </row>
    <row r="1105" spans="1:9">
      <c r="A1105" s="13" t="s">
        <v>2215</v>
      </c>
      <c r="B1105" s="14" t="s">
        <v>2216</v>
      </c>
      <c r="C1105" s="13">
        <v>389</v>
      </c>
      <c r="D1105" s="7">
        <f>IFERROR(VLOOKUP(A1105,'1227-29耗量'!$A$1:$C$602,3,FALSE),0)</f>
        <v>6</v>
      </c>
      <c r="E1105" s="7">
        <f t="shared" si="34"/>
        <v>383</v>
      </c>
      <c r="F1105" s="7" t="str">
        <f t="shared" si="35"/>
        <v>無資料</v>
      </c>
      <c r="G1105" s="7" t="e">
        <f>VLOOKUP(A1105,Sheet5!$A$2:$D$415,4,FALSE)</f>
        <v>#N/A</v>
      </c>
      <c r="H1105" s="7" t="e">
        <f>VLOOKUP(A1105,Sheet5!$A$2:$D$415,3,FALSE)</f>
        <v>#N/A</v>
      </c>
      <c r="I1105" s="7" t="e">
        <f>VLOOKUP(A1105,'1201-29周均耗用'!$A$1:$C$602,3,FALSE)</f>
        <v>#N/A</v>
      </c>
    </row>
    <row r="1106" spans="1:9">
      <c r="A1106" s="13" t="s">
        <v>2217</v>
      </c>
      <c r="B1106" s="14" t="s">
        <v>2218</v>
      </c>
      <c r="C1106" s="13">
        <v>0</v>
      </c>
      <c r="D1106" s="7">
        <f>IFERROR(VLOOKUP(A1106,'1227-29耗量'!$A$1:$C$602,3,FALSE),0)</f>
        <v>0</v>
      </c>
      <c r="E1106" s="7">
        <f t="shared" si="34"/>
        <v>0</v>
      </c>
      <c r="F1106" s="7" t="str">
        <f t="shared" si="35"/>
        <v>無資料</v>
      </c>
      <c r="G1106" s="7" t="e">
        <f>VLOOKUP(A1106,Sheet5!$A$2:$D$415,4,FALSE)</f>
        <v>#N/A</v>
      </c>
      <c r="H1106" s="7" t="e">
        <f>VLOOKUP(A1106,Sheet5!$A$2:$D$415,3,FALSE)</f>
        <v>#N/A</v>
      </c>
      <c r="I1106" s="7" t="e">
        <f>VLOOKUP(A1106,'1201-29周均耗用'!$A$1:$C$602,3,FALSE)</f>
        <v>#N/A</v>
      </c>
    </row>
    <row r="1107" spans="1:9">
      <c r="A1107" s="13" t="s">
        <v>2219</v>
      </c>
      <c r="B1107" s="14" t="s">
        <v>2220</v>
      </c>
      <c r="C1107" s="13">
        <v>392</v>
      </c>
      <c r="D1107" s="7">
        <f>IFERROR(VLOOKUP(A1107,'1227-29耗量'!$A$1:$C$602,3,FALSE),0)</f>
        <v>18</v>
      </c>
      <c r="E1107" s="7">
        <f t="shared" si="34"/>
        <v>374</v>
      </c>
      <c r="F1107" s="7" t="str">
        <f t="shared" si="35"/>
        <v>無資料</v>
      </c>
      <c r="G1107" s="7" t="e">
        <f>VLOOKUP(A1107,Sheet5!$A$2:$D$415,4,FALSE)</f>
        <v>#N/A</v>
      </c>
      <c r="H1107" s="7" t="e">
        <f>VLOOKUP(A1107,Sheet5!$A$2:$D$415,3,FALSE)</f>
        <v>#N/A</v>
      </c>
      <c r="I1107" s="7" t="e">
        <f>VLOOKUP(A1107,'1201-29周均耗用'!$A$1:$C$602,3,FALSE)</f>
        <v>#N/A</v>
      </c>
    </row>
    <row r="1108" spans="1:9">
      <c r="A1108" s="13" t="s">
        <v>2221</v>
      </c>
      <c r="B1108" s="14" t="s">
        <v>2222</v>
      </c>
      <c r="C1108" s="13">
        <v>0</v>
      </c>
      <c r="D1108" s="7">
        <f>IFERROR(VLOOKUP(A1108,'1227-29耗量'!$A$1:$C$602,3,FALSE),0)</f>
        <v>0</v>
      </c>
      <c r="E1108" s="7">
        <f t="shared" si="34"/>
        <v>0</v>
      </c>
      <c r="F1108" s="7" t="str">
        <f t="shared" si="35"/>
        <v>無資料</v>
      </c>
      <c r="G1108" s="7" t="e">
        <f>VLOOKUP(A1108,Sheet5!$A$2:$D$415,4,FALSE)</f>
        <v>#N/A</v>
      </c>
      <c r="H1108" s="7" t="e">
        <f>VLOOKUP(A1108,Sheet5!$A$2:$D$415,3,FALSE)</f>
        <v>#N/A</v>
      </c>
      <c r="I1108" s="7" t="e">
        <f>VLOOKUP(A1108,'1201-29周均耗用'!$A$1:$C$602,3,FALSE)</f>
        <v>#N/A</v>
      </c>
    </row>
    <row r="1109" spans="1:9">
      <c r="A1109" s="13" t="s">
        <v>2223</v>
      </c>
      <c r="B1109" s="14" t="s">
        <v>2224</v>
      </c>
      <c r="C1109" s="13">
        <v>0</v>
      </c>
      <c r="D1109" s="7">
        <f>IFERROR(VLOOKUP(A1109,'1227-29耗量'!$A$1:$C$602,3,FALSE),0)</f>
        <v>0</v>
      </c>
      <c r="E1109" s="7">
        <f t="shared" si="34"/>
        <v>0</v>
      </c>
      <c r="F1109" s="7" t="str">
        <f t="shared" si="35"/>
        <v>無資料</v>
      </c>
      <c r="G1109" s="7" t="e">
        <f>VLOOKUP(A1109,Sheet5!$A$2:$D$415,4,FALSE)</f>
        <v>#N/A</v>
      </c>
      <c r="H1109" s="7" t="e">
        <f>VLOOKUP(A1109,Sheet5!$A$2:$D$415,3,FALSE)</f>
        <v>#N/A</v>
      </c>
      <c r="I1109" s="7" t="e">
        <f>VLOOKUP(A1109,'1201-29周均耗用'!$A$1:$C$602,3,FALSE)</f>
        <v>#N/A</v>
      </c>
    </row>
    <row r="1110" spans="1:9">
      <c r="A1110" s="13" t="s">
        <v>2225</v>
      </c>
      <c r="B1110" s="14" t="s">
        <v>2226</v>
      </c>
      <c r="C1110" s="13">
        <v>0</v>
      </c>
      <c r="D1110" s="7">
        <f>IFERROR(VLOOKUP(A1110,'1227-29耗量'!$A$1:$C$602,3,FALSE),0)</f>
        <v>0</v>
      </c>
      <c r="E1110" s="7">
        <f t="shared" si="34"/>
        <v>0</v>
      </c>
      <c r="F1110" s="7" t="str">
        <f t="shared" si="35"/>
        <v>無資料</v>
      </c>
      <c r="G1110" s="7" t="e">
        <f>VLOOKUP(A1110,Sheet5!$A$2:$D$415,4,FALSE)</f>
        <v>#N/A</v>
      </c>
      <c r="H1110" s="7" t="e">
        <f>VLOOKUP(A1110,Sheet5!$A$2:$D$415,3,FALSE)</f>
        <v>#N/A</v>
      </c>
      <c r="I1110" s="7" t="e">
        <f>VLOOKUP(A1110,'1201-29周均耗用'!$A$1:$C$602,3,FALSE)</f>
        <v>#N/A</v>
      </c>
    </row>
    <row r="1111" spans="1:9">
      <c r="A1111" s="13" t="s">
        <v>2227</v>
      </c>
      <c r="B1111" s="14" t="s">
        <v>2228</v>
      </c>
      <c r="C1111" s="13">
        <v>77</v>
      </c>
      <c r="D1111" s="7">
        <f>VLOOKUP(A1111,'1227-29耗量'!$A$1:$C$602,3,FALSE)</f>
        <v>1</v>
      </c>
      <c r="E1111" s="7">
        <f t="shared" si="34"/>
        <v>76</v>
      </c>
      <c r="F1111" s="7" t="str">
        <f t="shared" si="35"/>
        <v>錯誤</v>
      </c>
      <c r="G1111" s="7">
        <f>VLOOKUP(A1111,Sheet5!$A$2:$D$415,4,FALSE)</f>
        <v>42</v>
      </c>
      <c r="H1111" s="7">
        <f>VLOOKUP(A1111,Sheet5!$A$2:$D$415,3,FALSE)</f>
        <v>60</v>
      </c>
      <c r="I1111" s="7" t="e">
        <f>VLOOKUP(A1111,'1201-29周均耗用'!$A$1:$C$602,3,FALSE)</f>
        <v>#N/A</v>
      </c>
    </row>
    <row r="1112" spans="1:9">
      <c r="A1112" s="13" t="s">
        <v>2229</v>
      </c>
      <c r="B1112" s="14" t="s">
        <v>2230</v>
      </c>
      <c r="C1112" s="13">
        <v>30</v>
      </c>
      <c r="D1112" s="7">
        <f>IFERROR(VLOOKUP(A1112,'1227-29耗量'!$A$1:$C$602,3,FALSE),0)</f>
        <v>0</v>
      </c>
      <c r="E1112" s="7">
        <f t="shared" si="34"/>
        <v>30</v>
      </c>
      <c r="F1112" s="7" t="str">
        <f t="shared" si="35"/>
        <v>無資料</v>
      </c>
      <c r="G1112" s="7" t="e">
        <f>VLOOKUP(A1112,Sheet5!$A$2:$D$415,4,FALSE)</f>
        <v>#N/A</v>
      </c>
      <c r="H1112" s="7" t="e">
        <f>VLOOKUP(A1112,Sheet5!$A$2:$D$415,3,FALSE)</f>
        <v>#N/A</v>
      </c>
      <c r="I1112" s="7" t="e">
        <f>VLOOKUP(A1112,'1201-29周均耗用'!$A$1:$C$602,3,FALSE)</f>
        <v>#N/A</v>
      </c>
    </row>
    <row r="1113" spans="1:9">
      <c r="A1113" s="13" t="s">
        <v>2231</v>
      </c>
      <c r="B1113" s="14" t="s">
        <v>2232</v>
      </c>
      <c r="C1113" s="13">
        <v>4</v>
      </c>
      <c r="D1113" s="7">
        <f>IFERROR(VLOOKUP(A1113,'1227-29耗量'!$A$1:$C$602,3,FALSE),0)</f>
        <v>0</v>
      </c>
      <c r="E1113" s="7">
        <f t="shared" si="34"/>
        <v>4</v>
      </c>
      <c r="F1113" s="7" t="str">
        <f t="shared" si="35"/>
        <v>無資料</v>
      </c>
      <c r="G1113" s="7" t="e">
        <f>VLOOKUP(A1113,Sheet5!$A$2:$D$415,4,FALSE)</f>
        <v>#N/A</v>
      </c>
      <c r="H1113" s="7" t="e">
        <f>VLOOKUP(A1113,Sheet5!$A$2:$D$415,3,FALSE)</f>
        <v>#N/A</v>
      </c>
      <c r="I1113" s="7">
        <f>VLOOKUP(A1113,'1201-29周均耗用'!$A$1:$C$602,3,FALSE)</f>
        <v>1.5</v>
      </c>
    </row>
    <row r="1114" spans="1:9">
      <c r="A1114" s="13" t="s">
        <v>2233</v>
      </c>
      <c r="B1114" s="14" t="s">
        <v>2234</v>
      </c>
      <c r="C1114" s="13">
        <v>96</v>
      </c>
      <c r="D1114" s="7">
        <f>VLOOKUP(A1114,'1227-29耗量'!$A$1:$C$602,3,FALSE)</f>
        <v>3</v>
      </c>
      <c r="E1114" s="7">
        <f t="shared" si="34"/>
        <v>93</v>
      </c>
      <c r="F1114" s="7" t="str">
        <f t="shared" si="35"/>
        <v>錯誤</v>
      </c>
      <c r="G1114" s="7">
        <f>VLOOKUP(A1114,Sheet5!$A$2:$D$415,4,FALSE)</f>
        <v>19</v>
      </c>
      <c r="H1114" s="7">
        <f>VLOOKUP(A1114,Sheet5!$A$2:$D$415,3,FALSE)</f>
        <v>60</v>
      </c>
      <c r="I1114" s="7">
        <f>VLOOKUP(A1114,'1201-29周均耗用'!$A$1:$C$602,3,FALSE)</f>
        <v>17.2</v>
      </c>
    </row>
    <row r="1115" spans="1:9">
      <c r="A1115" s="13" t="s">
        <v>2235</v>
      </c>
      <c r="B1115" s="14" t="s">
        <v>2236</v>
      </c>
      <c r="C1115" s="13">
        <v>184</v>
      </c>
      <c r="D1115" s="7">
        <f>VLOOKUP(A1115,'1227-29耗量'!$A$1:$C$602,3,FALSE)</f>
        <v>8</v>
      </c>
      <c r="E1115" s="7">
        <f t="shared" si="34"/>
        <v>176</v>
      </c>
      <c r="F1115" s="7" t="str">
        <f t="shared" si="35"/>
        <v>錯誤</v>
      </c>
      <c r="G1115" s="7">
        <f>VLOOKUP(A1115,Sheet5!$A$2:$D$415,4,FALSE)</f>
        <v>87</v>
      </c>
      <c r="H1115" s="7">
        <f>VLOOKUP(A1115,Sheet5!$A$2:$D$415,3,FALSE)</f>
        <v>180</v>
      </c>
      <c r="I1115" s="7">
        <f>VLOOKUP(A1115,'1201-29周均耗用'!$A$1:$C$602,3,FALSE)</f>
        <v>54</v>
      </c>
    </row>
    <row r="1116" spans="1:9">
      <c r="A1116" s="13" t="s">
        <v>2237</v>
      </c>
      <c r="B1116" s="14" t="s">
        <v>2238</v>
      </c>
      <c r="C1116" s="13">
        <v>20</v>
      </c>
      <c r="D1116" s="7">
        <f>IFERROR(VLOOKUP(A1116,'1227-29耗量'!$A$1:$C$602,3,FALSE),0)</f>
        <v>0</v>
      </c>
      <c r="E1116" s="7">
        <f t="shared" si="34"/>
        <v>20</v>
      </c>
      <c r="F1116" s="7" t="str">
        <f t="shared" si="35"/>
        <v>無資料</v>
      </c>
      <c r="G1116" s="7" t="e">
        <f>VLOOKUP(A1116,Sheet5!$A$2:$D$415,4,FALSE)</f>
        <v>#N/A</v>
      </c>
      <c r="H1116" s="7" t="e">
        <f>VLOOKUP(A1116,Sheet5!$A$2:$D$415,3,FALSE)</f>
        <v>#N/A</v>
      </c>
      <c r="I1116" s="7" t="e">
        <f>VLOOKUP(A1116,'1201-29周均耗用'!$A$1:$C$602,3,FALSE)</f>
        <v>#N/A</v>
      </c>
    </row>
    <row r="1117" spans="1:9">
      <c r="A1117" s="13" t="s">
        <v>2239</v>
      </c>
      <c r="B1117" s="14" t="s">
        <v>2240</v>
      </c>
      <c r="C1117" s="13">
        <v>0</v>
      </c>
      <c r="D1117" s="7">
        <f>IFERROR(VLOOKUP(A1117,'1227-29耗量'!$A$1:$C$602,3,FALSE),0)</f>
        <v>0</v>
      </c>
      <c r="E1117" s="7">
        <f t="shared" si="34"/>
        <v>0</v>
      </c>
      <c r="F1117" s="7" t="str">
        <f t="shared" si="35"/>
        <v>無資料</v>
      </c>
      <c r="G1117" s="7" t="e">
        <f>VLOOKUP(A1117,Sheet5!$A$2:$D$415,4,FALSE)</f>
        <v>#N/A</v>
      </c>
      <c r="H1117" s="7" t="e">
        <f>VLOOKUP(A1117,Sheet5!$A$2:$D$415,3,FALSE)</f>
        <v>#N/A</v>
      </c>
      <c r="I1117" s="7" t="e">
        <f>VLOOKUP(A1117,'1201-29周均耗用'!$A$1:$C$602,3,FALSE)</f>
        <v>#N/A</v>
      </c>
    </row>
    <row r="1118" spans="1:9">
      <c r="A1118" s="13" t="s">
        <v>2241</v>
      </c>
      <c r="B1118" s="14" t="s">
        <v>2242</v>
      </c>
      <c r="C1118" s="13">
        <v>2140</v>
      </c>
      <c r="D1118" s="7">
        <f>VLOOKUP(A1118,'1227-29耗量'!$A$1:$C$602,3,FALSE)</f>
        <v>179</v>
      </c>
      <c r="E1118" s="7">
        <f t="shared" si="34"/>
        <v>1961</v>
      </c>
      <c r="F1118" s="7" t="str">
        <f t="shared" si="35"/>
        <v>錯誤</v>
      </c>
      <c r="G1118" s="7">
        <f>VLOOKUP(A1118,Sheet5!$A$2:$D$415,4,FALSE)</f>
        <v>1309</v>
      </c>
      <c r="H1118" s="7">
        <f>VLOOKUP(A1118,Sheet5!$A$2:$D$415,3,FALSE)</f>
        <v>3360</v>
      </c>
      <c r="I1118" s="7" t="e">
        <f>VLOOKUP(A1118,'1201-29周均耗用'!$A$1:$C$602,3,FALSE)</f>
        <v>#N/A</v>
      </c>
    </row>
    <row r="1119" spans="1:9">
      <c r="A1119" s="13" t="s">
        <v>2243</v>
      </c>
      <c r="B1119" s="14" t="s">
        <v>2244</v>
      </c>
      <c r="C1119" s="13">
        <v>0</v>
      </c>
      <c r="D1119" s="7">
        <f>IFERROR(VLOOKUP(A1119,'1227-29耗量'!$A$1:$C$602,3,FALSE),0)</f>
        <v>0</v>
      </c>
      <c r="E1119" s="7">
        <f t="shared" si="34"/>
        <v>0</v>
      </c>
      <c r="F1119" s="7" t="str">
        <f t="shared" si="35"/>
        <v>無資料</v>
      </c>
      <c r="G1119" s="7" t="e">
        <f>VLOOKUP(A1119,Sheet5!$A$2:$D$415,4,FALSE)</f>
        <v>#N/A</v>
      </c>
      <c r="H1119" s="7" t="e">
        <f>VLOOKUP(A1119,Sheet5!$A$2:$D$415,3,FALSE)</f>
        <v>#N/A</v>
      </c>
      <c r="I1119" s="7">
        <f>VLOOKUP(A1119,'1201-29周均耗用'!$A$1:$C$602,3,FALSE)</f>
        <v>0.2</v>
      </c>
    </row>
    <row r="1120" spans="1:9">
      <c r="A1120" s="13" t="s">
        <v>2245</v>
      </c>
      <c r="B1120" s="14" t="s">
        <v>2246</v>
      </c>
      <c r="C1120" s="13">
        <v>0</v>
      </c>
      <c r="D1120" s="7">
        <f>IFERROR(VLOOKUP(A1120,'1227-29耗量'!$A$1:$C$602,3,FALSE),0)</f>
        <v>0</v>
      </c>
      <c r="E1120" s="7">
        <f t="shared" si="34"/>
        <v>0</v>
      </c>
      <c r="F1120" s="7" t="str">
        <f t="shared" si="35"/>
        <v>無資料</v>
      </c>
      <c r="G1120" s="7" t="e">
        <f>VLOOKUP(A1120,Sheet5!$A$2:$D$415,4,FALSE)</f>
        <v>#N/A</v>
      </c>
      <c r="H1120" s="7" t="e">
        <f>VLOOKUP(A1120,Sheet5!$A$2:$D$415,3,FALSE)</f>
        <v>#N/A</v>
      </c>
      <c r="I1120" s="7" t="e">
        <f>VLOOKUP(A1120,'1201-29周均耗用'!$A$1:$C$602,3,FALSE)</f>
        <v>#N/A</v>
      </c>
    </row>
    <row r="1121" spans="1:9">
      <c r="A1121" s="13" t="s">
        <v>2247</v>
      </c>
      <c r="B1121" s="14" t="s">
        <v>2248</v>
      </c>
      <c r="C1121" s="13">
        <v>4</v>
      </c>
      <c r="D1121" s="7">
        <f>IFERROR(VLOOKUP(A1121,'1227-29耗量'!$A$1:$C$602,3,FALSE),0)</f>
        <v>0</v>
      </c>
      <c r="E1121" s="7">
        <f t="shared" si="34"/>
        <v>4</v>
      </c>
      <c r="F1121" s="7" t="str">
        <f t="shared" si="35"/>
        <v>無資料</v>
      </c>
      <c r="G1121" s="7" t="e">
        <f>VLOOKUP(A1121,Sheet5!$A$2:$D$415,4,FALSE)</f>
        <v>#N/A</v>
      </c>
      <c r="H1121" s="7" t="e">
        <f>VLOOKUP(A1121,Sheet5!$A$2:$D$415,3,FALSE)</f>
        <v>#N/A</v>
      </c>
      <c r="I1121" s="7" t="e">
        <f>VLOOKUP(A1121,'1201-29周均耗用'!$A$1:$C$602,3,FALSE)</f>
        <v>#N/A</v>
      </c>
    </row>
    <row r="1122" spans="1:9">
      <c r="A1122" s="13" t="s">
        <v>2249</v>
      </c>
      <c r="B1122" s="14" t="s">
        <v>2250</v>
      </c>
      <c r="C1122" s="13">
        <v>29</v>
      </c>
      <c r="D1122" s="7">
        <f>IFERROR(VLOOKUP(A1122,'1227-29耗量'!$A$1:$C$602,3,FALSE),0)</f>
        <v>0</v>
      </c>
      <c r="E1122" s="7">
        <f t="shared" si="34"/>
        <v>29</v>
      </c>
      <c r="F1122" s="7" t="str">
        <f t="shared" si="35"/>
        <v>無資料</v>
      </c>
      <c r="G1122" s="7" t="e">
        <f>VLOOKUP(A1122,Sheet5!$A$2:$D$415,4,FALSE)</f>
        <v>#N/A</v>
      </c>
      <c r="H1122" s="7" t="e">
        <f>VLOOKUP(A1122,Sheet5!$A$2:$D$415,3,FALSE)</f>
        <v>#N/A</v>
      </c>
      <c r="I1122" s="7" t="e">
        <f>VLOOKUP(A1122,'1201-29周均耗用'!$A$1:$C$602,3,FALSE)</f>
        <v>#N/A</v>
      </c>
    </row>
    <row r="1123" spans="1:9">
      <c r="A1123" s="13" t="s">
        <v>2251</v>
      </c>
      <c r="B1123" s="14" t="s">
        <v>2252</v>
      </c>
      <c r="C1123" s="13">
        <v>0</v>
      </c>
      <c r="D1123" s="7">
        <f>IFERROR(VLOOKUP(A1123,'1227-29耗量'!$A$1:$C$602,3,FALSE),0)</f>
        <v>0</v>
      </c>
      <c r="E1123" s="7">
        <f t="shared" si="34"/>
        <v>0</v>
      </c>
      <c r="F1123" s="7" t="str">
        <f t="shared" si="35"/>
        <v>無資料</v>
      </c>
      <c r="G1123" s="7" t="e">
        <f>VLOOKUP(A1123,Sheet5!$A$2:$D$415,4,FALSE)</f>
        <v>#N/A</v>
      </c>
      <c r="H1123" s="7" t="e">
        <f>VLOOKUP(A1123,Sheet5!$A$2:$D$415,3,FALSE)</f>
        <v>#N/A</v>
      </c>
      <c r="I1123" s="7" t="e">
        <f>VLOOKUP(A1123,'1201-29周均耗用'!$A$1:$C$602,3,FALSE)</f>
        <v>#N/A</v>
      </c>
    </row>
    <row r="1124" spans="1:9">
      <c r="A1124" s="13" t="s">
        <v>2253</v>
      </c>
      <c r="B1124" s="14" t="s">
        <v>2254</v>
      </c>
      <c r="C1124" s="13">
        <v>785</v>
      </c>
      <c r="D1124" s="7">
        <f>IFERROR(VLOOKUP(A1124,'1227-29耗量'!$A$1:$C$602,3,FALSE),0)</f>
        <v>9</v>
      </c>
      <c r="E1124" s="7">
        <f t="shared" si="34"/>
        <v>776</v>
      </c>
      <c r="F1124" s="7" t="str">
        <f t="shared" si="35"/>
        <v>無資料</v>
      </c>
      <c r="G1124" s="7" t="e">
        <f>VLOOKUP(A1124,Sheet5!$A$2:$D$415,4,FALSE)</f>
        <v>#N/A</v>
      </c>
      <c r="H1124" s="7" t="e">
        <f>VLOOKUP(A1124,Sheet5!$A$2:$D$415,3,FALSE)</f>
        <v>#N/A</v>
      </c>
      <c r="I1124" s="7" t="e">
        <f>VLOOKUP(A1124,'1201-29周均耗用'!$A$1:$C$602,3,FALSE)</f>
        <v>#N/A</v>
      </c>
    </row>
    <row r="1125" spans="1:9">
      <c r="A1125" s="13" t="s">
        <v>2255</v>
      </c>
      <c r="B1125" s="14" t="s">
        <v>2256</v>
      </c>
      <c r="C1125" s="13">
        <v>1600</v>
      </c>
      <c r="D1125" s="7">
        <f>VLOOKUP(A1125,'1227-29耗量'!$A$1:$C$602,3,FALSE)</f>
        <v>37</v>
      </c>
      <c r="E1125" s="7">
        <f t="shared" si="34"/>
        <v>1563</v>
      </c>
      <c r="F1125" s="7" t="str">
        <f t="shared" si="35"/>
        <v>錯誤</v>
      </c>
      <c r="G1125" s="7">
        <f>VLOOKUP(A1125,Sheet5!$A$2:$D$415,4,FALSE)</f>
        <v>1118</v>
      </c>
      <c r="H1125" s="7">
        <f>VLOOKUP(A1125,Sheet5!$A$2:$D$415,3,FALSE)</f>
        <v>840</v>
      </c>
      <c r="I1125" s="7" t="e">
        <f>VLOOKUP(A1125,'1201-29周均耗用'!$A$1:$C$602,3,FALSE)</f>
        <v>#N/A</v>
      </c>
    </row>
    <row r="1126" spans="1:9">
      <c r="A1126" s="13" t="s">
        <v>2257</v>
      </c>
      <c r="B1126" s="14" t="s">
        <v>2258</v>
      </c>
      <c r="C1126" s="13">
        <v>998</v>
      </c>
      <c r="D1126" s="7">
        <f>VLOOKUP(A1126,'1227-29耗量'!$A$1:$C$602,3,FALSE)</f>
        <v>31</v>
      </c>
      <c r="E1126" s="7">
        <f t="shared" si="34"/>
        <v>967</v>
      </c>
      <c r="F1126" s="7" t="str">
        <f t="shared" si="35"/>
        <v>錯誤</v>
      </c>
      <c r="G1126" s="7">
        <f>VLOOKUP(A1126,Sheet5!$A$2:$D$415,4,FALSE)</f>
        <v>438</v>
      </c>
      <c r="H1126" s="7">
        <f>VLOOKUP(A1126,Sheet5!$A$2:$D$415,3,FALSE)</f>
        <v>400</v>
      </c>
      <c r="I1126" s="7">
        <f>VLOOKUP(A1126,'1201-29周均耗用'!$A$1:$C$602,3,FALSE)</f>
        <v>116</v>
      </c>
    </row>
    <row r="1127" spans="1:9">
      <c r="A1127" s="13" t="s">
        <v>2259</v>
      </c>
      <c r="B1127" s="14" t="s">
        <v>2260</v>
      </c>
      <c r="C1127" s="13">
        <v>95</v>
      </c>
      <c r="D1127" s="7">
        <f>VLOOKUP(A1127,'1227-29耗量'!$A$1:$C$602,3,FALSE)</f>
        <v>2</v>
      </c>
      <c r="E1127" s="7">
        <f t="shared" si="34"/>
        <v>93</v>
      </c>
      <c r="F1127" s="7" t="str">
        <f t="shared" si="35"/>
        <v>錯誤</v>
      </c>
      <c r="G1127" s="7">
        <f>VLOOKUP(A1127,Sheet5!$A$2:$D$415,4,FALSE)</f>
        <v>20</v>
      </c>
      <c r="H1127" s="7">
        <f>VLOOKUP(A1127,Sheet5!$A$2:$D$415,3,FALSE)</f>
        <v>72</v>
      </c>
      <c r="I1127" s="7">
        <f>VLOOKUP(A1127,'1201-29周均耗用'!$A$1:$C$602,3,FALSE)</f>
        <v>30.2</v>
      </c>
    </row>
    <row r="1128" spans="1:9">
      <c r="A1128" s="13" t="s">
        <v>2261</v>
      </c>
      <c r="B1128" s="14" t="s">
        <v>2262</v>
      </c>
      <c r="C1128" s="13">
        <v>2</v>
      </c>
      <c r="D1128" s="7">
        <f>IFERROR(VLOOKUP(A1128,'1227-29耗量'!$A$1:$C$602,3,FALSE),0)</f>
        <v>2</v>
      </c>
      <c r="E1128" s="7">
        <f t="shared" si="34"/>
        <v>0</v>
      </c>
      <c r="F1128" s="7" t="str">
        <f t="shared" si="35"/>
        <v>無資料</v>
      </c>
      <c r="G1128" s="7" t="e">
        <f>VLOOKUP(A1128,Sheet5!$A$2:$D$415,4,FALSE)</f>
        <v>#N/A</v>
      </c>
      <c r="H1128" s="7" t="e">
        <f>VLOOKUP(A1128,Sheet5!$A$2:$D$415,3,FALSE)</f>
        <v>#N/A</v>
      </c>
      <c r="I1128" s="7" t="e">
        <f>VLOOKUP(A1128,'1201-29周均耗用'!$A$1:$C$602,3,FALSE)</f>
        <v>#N/A</v>
      </c>
    </row>
    <row r="1129" spans="1:9">
      <c r="A1129" s="13" t="s">
        <v>2263</v>
      </c>
      <c r="B1129" s="14" t="s">
        <v>2264</v>
      </c>
      <c r="C1129" s="13">
        <v>0</v>
      </c>
      <c r="D1129" s="7">
        <f>IFERROR(VLOOKUP(A1129,'1227-29耗量'!$A$1:$C$602,3,FALSE),0)</f>
        <v>0</v>
      </c>
      <c r="E1129" s="7">
        <f t="shared" si="34"/>
        <v>0</v>
      </c>
      <c r="F1129" s="7" t="str">
        <f t="shared" si="35"/>
        <v>無資料</v>
      </c>
      <c r="G1129" s="7" t="e">
        <f>VLOOKUP(A1129,Sheet5!$A$2:$D$415,4,FALSE)</f>
        <v>#N/A</v>
      </c>
      <c r="H1129" s="7" t="e">
        <f>VLOOKUP(A1129,Sheet5!$A$2:$D$415,3,FALSE)</f>
        <v>#N/A</v>
      </c>
      <c r="I1129" s="7" t="e">
        <f>VLOOKUP(A1129,'1201-29周均耗用'!$A$1:$C$602,3,FALSE)</f>
        <v>#N/A</v>
      </c>
    </row>
    <row r="1130" spans="1:9">
      <c r="A1130" s="13" t="s">
        <v>2265</v>
      </c>
      <c r="B1130" s="14" t="s">
        <v>2266</v>
      </c>
      <c r="C1130" s="13">
        <v>0</v>
      </c>
      <c r="D1130" s="7">
        <f>IFERROR(VLOOKUP(A1130,'1227-29耗量'!$A$1:$C$602,3,FALSE),0)</f>
        <v>0</v>
      </c>
      <c r="E1130" s="7">
        <f t="shared" si="34"/>
        <v>0</v>
      </c>
      <c r="F1130" s="7" t="str">
        <f t="shared" si="35"/>
        <v>無資料</v>
      </c>
      <c r="G1130" s="7" t="e">
        <f>VLOOKUP(A1130,Sheet5!$A$2:$D$415,4,FALSE)</f>
        <v>#N/A</v>
      </c>
      <c r="H1130" s="7" t="e">
        <f>VLOOKUP(A1130,Sheet5!$A$2:$D$415,3,FALSE)</f>
        <v>#N/A</v>
      </c>
      <c r="I1130" s="7" t="e">
        <f>VLOOKUP(A1130,'1201-29周均耗用'!$A$1:$C$602,3,FALSE)</f>
        <v>#N/A</v>
      </c>
    </row>
    <row r="1131" spans="1:9">
      <c r="A1131" s="13" t="s">
        <v>2267</v>
      </c>
      <c r="B1131" s="14" t="s">
        <v>2268</v>
      </c>
      <c r="C1131" s="13">
        <v>0</v>
      </c>
      <c r="D1131" s="7">
        <f>IFERROR(VLOOKUP(A1131,'1227-29耗量'!$A$1:$C$602,3,FALSE),0)</f>
        <v>0</v>
      </c>
      <c r="E1131" s="7">
        <f t="shared" si="34"/>
        <v>0</v>
      </c>
      <c r="F1131" s="7" t="str">
        <f t="shared" si="35"/>
        <v>無資料</v>
      </c>
      <c r="G1131" s="7" t="e">
        <f>VLOOKUP(A1131,Sheet5!$A$2:$D$415,4,FALSE)</f>
        <v>#N/A</v>
      </c>
      <c r="H1131" s="7" t="e">
        <f>VLOOKUP(A1131,Sheet5!$A$2:$D$415,3,FALSE)</f>
        <v>#N/A</v>
      </c>
      <c r="I1131" s="7" t="e">
        <f>VLOOKUP(A1131,'1201-29周均耗用'!$A$1:$C$602,3,FALSE)</f>
        <v>#N/A</v>
      </c>
    </row>
    <row r="1132" spans="1:9">
      <c r="A1132" s="13" t="s">
        <v>2269</v>
      </c>
      <c r="B1132" s="14" t="s">
        <v>2270</v>
      </c>
      <c r="C1132" s="13">
        <v>566</v>
      </c>
      <c r="D1132" s="7">
        <f>VLOOKUP(A1132,'1227-29耗量'!$A$1:$C$602,3,FALSE)</f>
        <v>27</v>
      </c>
      <c r="E1132" s="7">
        <f t="shared" si="34"/>
        <v>539</v>
      </c>
      <c r="F1132" s="7" t="str">
        <f t="shared" si="35"/>
        <v>錯誤</v>
      </c>
      <c r="G1132" s="7">
        <f>VLOOKUP(A1132,Sheet5!$A$2:$D$415,4,FALSE)</f>
        <v>322</v>
      </c>
      <c r="H1132" s="7">
        <f>VLOOKUP(A1132,Sheet5!$A$2:$D$415,3,FALSE)</f>
        <v>1440</v>
      </c>
      <c r="I1132" s="7">
        <f>VLOOKUP(A1132,'1201-29周均耗用'!$A$1:$C$602,3,FALSE)</f>
        <v>411</v>
      </c>
    </row>
    <row r="1133" spans="1:9">
      <c r="A1133" s="13" t="s">
        <v>2271</v>
      </c>
      <c r="B1133" s="14" t="s">
        <v>2272</v>
      </c>
      <c r="C1133" s="13">
        <v>0</v>
      </c>
      <c r="D1133" s="7">
        <f>IFERROR(VLOOKUP(A1133,'1227-29耗量'!$A$1:$C$602,3,FALSE),0)</f>
        <v>0</v>
      </c>
      <c r="E1133" s="7">
        <f t="shared" si="34"/>
        <v>0</v>
      </c>
      <c r="F1133" s="7" t="str">
        <f t="shared" si="35"/>
        <v>無資料</v>
      </c>
      <c r="G1133" s="7" t="e">
        <f>VLOOKUP(A1133,Sheet5!$A$2:$D$415,4,FALSE)</f>
        <v>#N/A</v>
      </c>
      <c r="H1133" s="7" t="e">
        <f>VLOOKUP(A1133,Sheet5!$A$2:$D$415,3,FALSE)</f>
        <v>#N/A</v>
      </c>
      <c r="I1133" s="7" t="e">
        <f>VLOOKUP(A1133,'1201-29周均耗用'!$A$1:$C$602,3,FALSE)</f>
        <v>#N/A</v>
      </c>
    </row>
    <row r="1134" spans="1:9">
      <c r="A1134" s="13" t="s">
        <v>2273</v>
      </c>
      <c r="B1134" s="14" t="s">
        <v>2274</v>
      </c>
      <c r="C1134" s="13">
        <v>0</v>
      </c>
      <c r="D1134" s="7">
        <f>IFERROR(VLOOKUP(A1134,'1227-29耗量'!$A$1:$C$602,3,FALSE),0)</f>
        <v>0</v>
      </c>
      <c r="E1134" s="7">
        <f t="shared" si="34"/>
        <v>0</v>
      </c>
      <c r="F1134" s="7" t="str">
        <f t="shared" si="35"/>
        <v>無資料</v>
      </c>
      <c r="G1134" s="7" t="e">
        <f>VLOOKUP(A1134,Sheet5!$A$2:$D$415,4,FALSE)</f>
        <v>#N/A</v>
      </c>
      <c r="H1134" s="7" t="e">
        <f>VLOOKUP(A1134,Sheet5!$A$2:$D$415,3,FALSE)</f>
        <v>#N/A</v>
      </c>
      <c r="I1134" s="7" t="e">
        <f>VLOOKUP(A1134,'1201-29周均耗用'!$A$1:$C$602,3,FALSE)</f>
        <v>#N/A</v>
      </c>
    </row>
    <row r="1135" spans="1:9">
      <c r="A1135" s="13" t="s">
        <v>2275</v>
      </c>
      <c r="B1135" s="14" t="s">
        <v>2276</v>
      </c>
      <c r="C1135" s="13">
        <v>493</v>
      </c>
      <c r="D1135" s="7">
        <f>VLOOKUP(A1135,'1227-29耗量'!$A$1:$C$602,3,FALSE)</f>
        <v>50</v>
      </c>
      <c r="E1135" s="7">
        <f t="shared" si="34"/>
        <v>443</v>
      </c>
      <c r="F1135" s="7" t="str">
        <f t="shared" si="35"/>
        <v>錯誤</v>
      </c>
      <c r="G1135" s="7">
        <f>VLOOKUP(A1135,Sheet5!$A$2:$D$415,4,FALSE)</f>
        <v>94</v>
      </c>
      <c r="H1135" s="7">
        <f>VLOOKUP(A1135,Sheet5!$A$2:$D$415,3,FALSE)</f>
        <v>600</v>
      </c>
      <c r="I1135" s="7">
        <f>VLOOKUP(A1135,'1201-29周均耗用'!$A$1:$C$602,3,FALSE)</f>
        <v>243.8</v>
      </c>
    </row>
    <row r="1136" spans="1:9">
      <c r="A1136" s="13" t="s">
        <v>2277</v>
      </c>
      <c r="B1136" s="14" t="s">
        <v>2278</v>
      </c>
      <c r="C1136" s="13">
        <v>29</v>
      </c>
      <c r="D1136" s="7">
        <f>IFERROR(VLOOKUP(A1136,'1227-29耗量'!$A$1:$C$602,3,FALSE),0)</f>
        <v>0</v>
      </c>
      <c r="E1136" s="7">
        <f t="shared" si="34"/>
        <v>29</v>
      </c>
      <c r="F1136" s="7" t="str">
        <f t="shared" si="35"/>
        <v>錯誤</v>
      </c>
      <c r="G1136" s="7">
        <f>VLOOKUP(A1136,Sheet5!$A$2:$D$415,4,FALSE)</f>
        <v>5</v>
      </c>
      <c r="H1136" s="7">
        <f>VLOOKUP(A1136,Sheet5!$A$2:$D$415,3,FALSE)</f>
        <v>20</v>
      </c>
      <c r="I1136" s="7" t="e">
        <f>VLOOKUP(A1136,'1201-29周均耗用'!$A$1:$C$602,3,FALSE)</f>
        <v>#N/A</v>
      </c>
    </row>
    <row r="1137" spans="1:9">
      <c r="A1137" s="13" t="s">
        <v>2279</v>
      </c>
      <c r="B1137" s="14" t="s">
        <v>2280</v>
      </c>
      <c r="C1137" s="13">
        <v>22</v>
      </c>
      <c r="D1137" s="7">
        <f>IFERROR(VLOOKUP(A1137,'1227-29耗量'!$A$1:$C$602,3,FALSE),0)</f>
        <v>0</v>
      </c>
      <c r="E1137" s="7">
        <f t="shared" si="34"/>
        <v>22</v>
      </c>
      <c r="F1137" s="7" t="str">
        <f t="shared" si="35"/>
        <v>錯誤</v>
      </c>
      <c r="G1137" s="7">
        <f>VLOOKUP(A1137,Sheet5!$A$2:$D$415,4,FALSE)</f>
        <v>15</v>
      </c>
      <c r="H1137" s="7">
        <f>VLOOKUP(A1137,Sheet5!$A$2:$D$415,3,FALSE)</f>
        <v>10</v>
      </c>
      <c r="I1137" s="7" t="e">
        <f>VLOOKUP(A1137,'1201-29周均耗用'!$A$1:$C$602,3,FALSE)</f>
        <v>#N/A</v>
      </c>
    </row>
    <row r="1138" spans="1:9">
      <c r="A1138" s="13" t="s">
        <v>2281</v>
      </c>
      <c r="B1138" s="14" t="s">
        <v>2282</v>
      </c>
      <c r="C1138" s="13">
        <v>116</v>
      </c>
      <c r="D1138" s="7">
        <f>IFERROR(VLOOKUP(A1138,'1227-29耗量'!$A$1:$C$602,3,FALSE),0)</f>
        <v>2</v>
      </c>
      <c r="E1138" s="7">
        <f t="shared" si="34"/>
        <v>114</v>
      </c>
      <c r="F1138" s="7" t="str">
        <f t="shared" si="35"/>
        <v>無資料</v>
      </c>
      <c r="G1138" s="7" t="e">
        <f>VLOOKUP(A1138,Sheet5!$A$2:$D$415,4,FALSE)</f>
        <v>#N/A</v>
      </c>
      <c r="H1138" s="7" t="e">
        <f>VLOOKUP(A1138,Sheet5!$A$2:$D$415,3,FALSE)</f>
        <v>#N/A</v>
      </c>
      <c r="I1138" s="7">
        <f>VLOOKUP(A1138,'1201-29周均耗用'!$A$1:$C$602,3,FALSE)</f>
        <v>27</v>
      </c>
    </row>
    <row r="1139" spans="1:9">
      <c r="A1139" s="13" t="s">
        <v>2283</v>
      </c>
      <c r="B1139" s="14" t="s">
        <v>2284</v>
      </c>
      <c r="C1139" s="13">
        <v>0</v>
      </c>
      <c r="D1139" s="7">
        <f>IFERROR(VLOOKUP(A1139,'1227-29耗量'!$A$1:$C$602,3,FALSE),0)</f>
        <v>0</v>
      </c>
      <c r="E1139" s="7">
        <f t="shared" si="34"/>
        <v>0</v>
      </c>
      <c r="F1139" s="7" t="str">
        <f t="shared" si="35"/>
        <v>無資料</v>
      </c>
      <c r="G1139" s="7" t="e">
        <f>VLOOKUP(A1139,Sheet5!$A$2:$D$415,4,FALSE)</f>
        <v>#N/A</v>
      </c>
      <c r="H1139" s="7" t="e">
        <f>VLOOKUP(A1139,Sheet5!$A$2:$D$415,3,FALSE)</f>
        <v>#N/A</v>
      </c>
      <c r="I1139" s="7" t="e">
        <f>VLOOKUP(A1139,'1201-29周均耗用'!$A$1:$C$602,3,FALSE)</f>
        <v>#N/A</v>
      </c>
    </row>
    <row r="1140" spans="1:9">
      <c r="A1140" s="13" t="s">
        <v>2285</v>
      </c>
      <c r="B1140" s="14" t="s">
        <v>2286</v>
      </c>
      <c r="C1140" s="13">
        <v>8</v>
      </c>
      <c r="D1140" s="7">
        <f>IFERROR(VLOOKUP(A1140,'1227-29耗量'!$A$1:$C$602,3,FALSE),0)</f>
        <v>0</v>
      </c>
      <c r="E1140" s="7">
        <f t="shared" si="34"/>
        <v>8</v>
      </c>
      <c r="F1140" s="7" t="str">
        <f t="shared" si="35"/>
        <v>無資料</v>
      </c>
      <c r="G1140" s="7" t="e">
        <f>VLOOKUP(A1140,Sheet5!$A$2:$D$415,4,FALSE)</f>
        <v>#N/A</v>
      </c>
      <c r="H1140" s="7" t="e">
        <f>VLOOKUP(A1140,Sheet5!$A$2:$D$415,3,FALSE)</f>
        <v>#N/A</v>
      </c>
      <c r="I1140" s="7" t="e">
        <f>VLOOKUP(A1140,'1201-29周均耗用'!$A$1:$C$602,3,FALSE)</f>
        <v>#N/A</v>
      </c>
    </row>
    <row r="1141" spans="1:9">
      <c r="A1141" s="13" t="s">
        <v>2287</v>
      </c>
      <c r="B1141" s="14" t="s">
        <v>2288</v>
      </c>
      <c r="C1141" s="13">
        <v>0</v>
      </c>
      <c r="D1141" s="7">
        <f>IFERROR(VLOOKUP(A1141,'1227-29耗量'!$A$1:$C$602,3,FALSE),0)</f>
        <v>0</v>
      </c>
      <c r="E1141" s="7">
        <f t="shared" si="34"/>
        <v>0</v>
      </c>
      <c r="F1141" s="7" t="str">
        <f t="shared" si="35"/>
        <v>無資料</v>
      </c>
      <c r="G1141" s="7" t="e">
        <f>VLOOKUP(A1141,Sheet5!$A$2:$D$415,4,FALSE)</f>
        <v>#N/A</v>
      </c>
      <c r="H1141" s="7" t="e">
        <f>VLOOKUP(A1141,Sheet5!$A$2:$D$415,3,FALSE)</f>
        <v>#N/A</v>
      </c>
      <c r="I1141" s="7" t="e">
        <f>VLOOKUP(A1141,'1201-29周均耗用'!$A$1:$C$602,3,FALSE)</f>
        <v>#N/A</v>
      </c>
    </row>
    <row r="1142" spans="1:9">
      <c r="A1142" s="13" t="s">
        <v>2289</v>
      </c>
      <c r="B1142" s="14" t="s">
        <v>2290</v>
      </c>
      <c r="C1142" s="13">
        <v>105</v>
      </c>
      <c r="D1142" s="7">
        <f>IFERROR(VLOOKUP(A1142,'1227-29耗量'!$A$1:$C$602,3,FALSE),0)</f>
        <v>2</v>
      </c>
      <c r="E1142" s="7">
        <f t="shared" si="34"/>
        <v>103</v>
      </c>
      <c r="F1142" s="7" t="str">
        <f t="shared" si="35"/>
        <v>無資料</v>
      </c>
      <c r="G1142" s="7" t="e">
        <f>VLOOKUP(A1142,Sheet5!$A$2:$D$415,4,FALSE)</f>
        <v>#N/A</v>
      </c>
      <c r="H1142" s="7" t="e">
        <f>VLOOKUP(A1142,Sheet5!$A$2:$D$415,3,FALSE)</f>
        <v>#N/A</v>
      </c>
      <c r="I1142" s="7" t="e">
        <f>VLOOKUP(A1142,'1201-29周均耗用'!$A$1:$C$602,3,FALSE)</f>
        <v>#N/A</v>
      </c>
    </row>
    <row r="1143" spans="1:9">
      <c r="A1143" s="13" t="s">
        <v>2291</v>
      </c>
      <c r="B1143" s="14" t="s">
        <v>2292</v>
      </c>
      <c r="C1143" s="13">
        <v>0</v>
      </c>
      <c r="D1143" s="7">
        <f>IFERROR(VLOOKUP(A1143,'1227-29耗量'!$A$1:$C$602,3,FALSE),0)</f>
        <v>0</v>
      </c>
      <c r="E1143" s="7">
        <f t="shared" si="34"/>
        <v>0</v>
      </c>
      <c r="F1143" s="7" t="str">
        <f t="shared" si="35"/>
        <v>無資料</v>
      </c>
      <c r="G1143" s="7" t="e">
        <f>VLOOKUP(A1143,Sheet5!$A$2:$D$415,4,FALSE)</f>
        <v>#N/A</v>
      </c>
      <c r="H1143" s="7" t="e">
        <f>VLOOKUP(A1143,Sheet5!$A$2:$D$415,3,FALSE)</f>
        <v>#N/A</v>
      </c>
      <c r="I1143" s="7" t="e">
        <f>VLOOKUP(A1143,'1201-29周均耗用'!$A$1:$C$602,3,FALSE)</f>
        <v>#N/A</v>
      </c>
    </row>
    <row r="1144" spans="1:9">
      <c r="A1144" s="13" t="s">
        <v>2293</v>
      </c>
      <c r="B1144" s="14" t="s">
        <v>2294</v>
      </c>
      <c r="C1144" s="13">
        <v>0</v>
      </c>
      <c r="D1144" s="7">
        <f>IFERROR(VLOOKUP(A1144,'1227-29耗量'!$A$1:$C$602,3,FALSE),0)</f>
        <v>0</v>
      </c>
      <c r="E1144" s="7">
        <f t="shared" si="34"/>
        <v>0</v>
      </c>
      <c r="F1144" s="7" t="str">
        <f t="shared" si="35"/>
        <v>無資料</v>
      </c>
      <c r="G1144" s="7" t="e">
        <f>VLOOKUP(A1144,Sheet5!$A$2:$D$415,4,FALSE)</f>
        <v>#N/A</v>
      </c>
      <c r="H1144" s="7" t="e">
        <f>VLOOKUP(A1144,Sheet5!$A$2:$D$415,3,FALSE)</f>
        <v>#N/A</v>
      </c>
      <c r="I1144" s="7" t="e">
        <f>VLOOKUP(A1144,'1201-29周均耗用'!$A$1:$C$602,3,FALSE)</f>
        <v>#N/A</v>
      </c>
    </row>
    <row r="1145" spans="1:9">
      <c r="A1145" s="13" t="s">
        <v>2295</v>
      </c>
      <c r="B1145" s="14" t="s">
        <v>2296</v>
      </c>
      <c r="C1145" s="13">
        <v>0</v>
      </c>
      <c r="D1145" s="7">
        <f>IFERROR(VLOOKUP(A1145,'1227-29耗量'!$A$1:$C$602,3,FALSE),0)</f>
        <v>0</v>
      </c>
      <c r="E1145" s="7">
        <f t="shared" si="34"/>
        <v>0</v>
      </c>
      <c r="F1145" s="7" t="str">
        <f t="shared" si="35"/>
        <v>無資料</v>
      </c>
      <c r="G1145" s="7" t="e">
        <f>VLOOKUP(A1145,Sheet5!$A$2:$D$415,4,FALSE)</f>
        <v>#N/A</v>
      </c>
      <c r="H1145" s="7" t="e">
        <f>VLOOKUP(A1145,Sheet5!$A$2:$D$415,3,FALSE)</f>
        <v>#N/A</v>
      </c>
      <c r="I1145" s="7" t="e">
        <f>VLOOKUP(A1145,'1201-29周均耗用'!$A$1:$C$602,3,FALSE)</f>
        <v>#N/A</v>
      </c>
    </row>
    <row r="1146" spans="1:9">
      <c r="A1146" s="13" t="s">
        <v>2297</v>
      </c>
      <c r="B1146" s="14" t="s">
        <v>2298</v>
      </c>
      <c r="C1146" s="13">
        <v>0</v>
      </c>
      <c r="D1146" s="7">
        <f>IFERROR(VLOOKUP(A1146,'1227-29耗量'!$A$1:$C$602,3,FALSE),0)</f>
        <v>0</v>
      </c>
      <c r="E1146" s="7">
        <f t="shared" si="34"/>
        <v>0</v>
      </c>
      <c r="F1146" s="7" t="str">
        <f t="shared" si="35"/>
        <v>無資料</v>
      </c>
      <c r="G1146" s="7" t="e">
        <f>VLOOKUP(A1146,Sheet5!$A$2:$D$415,4,FALSE)</f>
        <v>#N/A</v>
      </c>
      <c r="H1146" s="7" t="e">
        <f>VLOOKUP(A1146,Sheet5!$A$2:$D$415,3,FALSE)</f>
        <v>#N/A</v>
      </c>
      <c r="I1146" s="7" t="e">
        <f>VLOOKUP(A1146,'1201-29周均耗用'!$A$1:$C$602,3,FALSE)</f>
        <v>#N/A</v>
      </c>
    </row>
    <row r="1147" spans="1:9">
      <c r="A1147" s="13" t="s">
        <v>2299</v>
      </c>
      <c r="B1147" s="14" t="s">
        <v>2300</v>
      </c>
      <c r="C1147" s="13">
        <v>0</v>
      </c>
      <c r="D1147" s="7">
        <f>IFERROR(VLOOKUP(A1147,'1227-29耗量'!$A$1:$C$602,3,FALSE),0)</f>
        <v>0</v>
      </c>
      <c r="E1147" s="7">
        <f t="shared" si="34"/>
        <v>0</v>
      </c>
      <c r="F1147" s="7" t="str">
        <f t="shared" si="35"/>
        <v>無資料</v>
      </c>
      <c r="G1147" s="7" t="e">
        <f>VLOOKUP(A1147,Sheet5!$A$2:$D$415,4,FALSE)</f>
        <v>#N/A</v>
      </c>
      <c r="H1147" s="7" t="e">
        <f>VLOOKUP(A1147,Sheet5!$A$2:$D$415,3,FALSE)</f>
        <v>#N/A</v>
      </c>
      <c r="I1147" s="7" t="e">
        <f>VLOOKUP(A1147,'1201-29周均耗用'!$A$1:$C$602,3,FALSE)</f>
        <v>#N/A</v>
      </c>
    </row>
    <row r="1148" spans="1:9">
      <c r="A1148" s="13" t="s">
        <v>2301</v>
      </c>
      <c r="B1148" s="14" t="s">
        <v>2302</v>
      </c>
      <c r="C1148" s="13">
        <v>81</v>
      </c>
      <c r="D1148" s="7">
        <f>IFERROR(VLOOKUP(A1148,'1227-29耗量'!$A$1:$C$602,3,FALSE),0)</f>
        <v>0</v>
      </c>
      <c r="E1148" s="7">
        <f t="shared" si="34"/>
        <v>81</v>
      </c>
      <c r="F1148" s="7" t="str">
        <f t="shared" si="35"/>
        <v>無資料</v>
      </c>
      <c r="G1148" s="7" t="e">
        <f>VLOOKUP(A1148,Sheet5!$A$2:$D$415,4,FALSE)</f>
        <v>#N/A</v>
      </c>
      <c r="H1148" s="7" t="e">
        <f>VLOOKUP(A1148,Sheet5!$A$2:$D$415,3,FALSE)</f>
        <v>#N/A</v>
      </c>
      <c r="I1148" s="7" t="e">
        <f>VLOOKUP(A1148,'1201-29周均耗用'!$A$1:$C$602,3,FALSE)</f>
        <v>#N/A</v>
      </c>
    </row>
    <row r="1149" spans="1:9">
      <c r="A1149" s="13" t="s">
        <v>2303</v>
      </c>
      <c r="B1149" s="14" t="s">
        <v>2304</v>
      </c>
      <c r="C1149" s="13">
        <v>172</v>
      </c>
      <c r="D1149" s="7">
        <f>VLOOKUP(A1149,'1227-29耗量'!$A$1:$C$602,3,FALSE)</f>
        <v>31</v>
      </c>
      <c r="E1149" s="7">
        <f t="shared" si="34"/>
        <v>141</v>
      </c>
      <c r="F1149" s="7" t="str">
        <f t="shared" si="35"/>
        <v>錯誤</v>
      </c>
      <c r="G1149" s="7">
        <f>VLOOKUP(A1149,Sheet5!$A$2:$D$415,4,FALSE)</f>
        <v>156</v>
      </c>
      <c r="H1149" s="7">
        <f>VLOOKUP(A1149,Sheet5!$A$2:$D$415,3,FALSE)</f>
        <v>400</v>
      </c>
      <c r="I1149" s="7">
        <f>VLOOKUP(A1149,'1201-29周均耗用'!$A$1:$C$602,3,FALSE)</f>
        <v>261.8</v>
      </c>
    </row>
    <row r="1150" spans="1:9">
      <c r="A1150" s="13" t="s">
        <v>2305</v>
      </c>
      <c r="B1150" s="14" t="s">
        <v>2306</v>
      </c>
      <c r="C1150" s="13">
        <v>1209</v>
      </c>
      <c r="D1150" s="7">
        <f>IFERROR(VLOOKUP(A1150,'1227-29耗量'!$A$1:$C$602,3,FALSE),0)</f>
        <v>23</v>
      </c>
      <c r="E1150" s="7">
        <f t="shared" si="34"/>
        <v>1186</v>
      </c>
      <c r="F1150" s="7" t="str">
        <f t="shared" si="35"/>
        <v>無資料</v>
      </c>
      <c r="G1150" s="7" t="e">
        <f>VLOOKUP(A1150,Sheet5!$A$2:$D$415,4,FALSE)</f>
        <v>#N/A</v>
      </c>
      <c r="H1150" s="7" t="e">
        <f>VLOOKUP(A1150,Sheet5!$A$2:$D$415,3,FALSE)</f>
        <v>#N/A</v>
      </c>
      <c r="I1150" s="7" t="e">
        <f>VLOOKUP(A1150,'1201-29周均耗用'!$A$1:$C$602,3,FALSE)</f>
        <v>#N/A</v>
      </c>
    </row>
    <row r="1151" spans="1:9">
      <c r="A1151" s="13" t="s">
        <v>2307</v>
      </c>
      <c r="B1151" s="14" t="s">
        <v>2308</v>
      </c>
      <c r="C1151" s="13">
        <v>8778</v>
      </c>
      <c r="D1151" s="7">
        <f>VLOOKUP(A1151,'1227-29耗量'!$A$1:$C$602,3,FALSE)</f>
        <v>901</v>
      </c>
      <c r="E1151" s="7">
        <f t="shared" si="34"/>
        <v>7877</v>
      </c>
      <c r="F1151" s="7" t="str">
        <f t="shared" si="35"/>
        <v>錯誤</v>
      </c>
      <c r="G1151" s="7">
        <f>VLOOKUP(A1151,Sheet5!$A$2:$D$415,4,FALSE)</f>
        <v>5447</v>
      </c>
      <c r="H1151" s="7">
        <f>VLOOKUP(A1151,Sheet5!$A$2:$D$415,3,FALSE)</f>
        <v>15000</v>
      </c>
      <c r="I1151" s="7" t="e">
        <f>VLOOKUP(A1151,'1201-29周均耗用'!$A$1:$C$602,3,FALSE)</f>
        <v>#N/A</v>
      </c>
    </row>
    <row r="1152" spans="1:9">
      <c r="A1152" s="13" t="s">
        <v>2309</v>
      </c>
      <c r="B1152" s="14" t="s">
        <v>2310</v>
      </c>
      <c r="C1152" s="13">
        <v>9</v>
      </c>
      <c r="D1152" s="7">
        <f>IFERROR(VLOOKUP(A1152,'1227-29耗量'!$A$1:$C$602,3,FALSE),0)</f>
        <v>0</v>
      </c>
      <c r="E1152" s="7">
        <f t="shared" si="34"/>
        <v>9</v>
      </c>
      <c r="F1152" s="7" t="str">
        <f t="shared" si="35"/>
        <v>無資料</v>
      </c>
      <c r="G1152" s="7" t="e">
        <f>VLOOKUP(A1152,Sheet5!$A$2:$D$415,4,FALSE)</f>
        <v>#N/A</v>
      </c>
      <c r="H1152" s="7" t="e">
        <f>VLOOKUP(A1152,Sheet5!$A$2:$D$415,3,FALSE)</f>
        <v>#N/A</v>
      </c>
      <c r="I1152" s="7">
        <f>VLOOKUP(A1152,'1201-29周均耗用'!$A$1:$C$602,3,FALSE)</f>
        <v>0</v>
      </c>
    </row>
    <row r="1153" spans="1:9">
      <c r="A1153" s="13" t="s">
        <v>2311</v>
      </c>
      <c r="B1153" s="14" t="s">
        <v>2312</v>
      </c>
      <c r="C1153" s="13">
        <v>42</v>
      </c>
      <c r="D1153" s="7">
        <f>IFERROR(VLOOKUP(A1153,'1227-29耗量'!$A$1:$C$602,3,FALSE),0)</f>
        <v>0</v>
      </c>
      <c r="E1153" s="7">
        <f t="shared" si="34"/>
        <v>42</v>
      </c>
      <c r="F1153" s="7" t="str">
        <f t="shared" si="35"/>
        <v>無資料</v>
      </c>
      <c r="G1153" s="7" t="e">
        <f>VLOOKUP(A1153,Sheet5!$A$2:$D$415,4,FALSE)</f>
        <v>#N/A</v>
      </c>
      <c r="H1153" s="7" t="e">
        <f>VLOOKUP(A1153,Sheet5!$A$2:$D$415,3,FALSE)</f>
        <v>#N/A</v>
      </c>
      <c r="I1153" s="7">
        <f>VLOOKUP(A1153,'1201-29周均耗用'!$A$1:$C$602,3,FALSE)</f>
        <v>2.8</v>
      </c>
    </row>
    <row r="1154" spans="1:9">
      <c r="A1154" s="13" t="s">
        <v>2313</v>
      </c>
      <c r="B1154" s="14" t="s">
        <v>2314</v>
      </c>
      <c r="C1154" s="13">
        <v>2</v>
      </c>
      <c r="D1154" s="7">
        <f>IFERROR(VLOOKUP(A1154,'1227-29耗量'!$A$1:$C$602,3,FALSE),0)</f>
        <v>0</v>
      </c>
      <c r="E1154" s="7">
        <f t="shared" si="34"/>
        <v>2</v>
      </c>
      <c r="F1154" s="7" t="str">
        <f t="shared" si="35"/>
        <v>無資料</v>
      </c>
      <c r="G1154" s="7" t="e">
        <f>VLOOKUP(A1154,Sheet5!$A$2:$D$415,4,FALSE)</f>
        <v>#N/A</v>
      </c>
      <c r="H1154" s="7" t="e">
        <f>VLOOKUP(A1154,Sheet5!$A$2:$D$415,3,FALSE)</f>
        <v>#N/A</v>
      </c>
      <c r="I1154" s="7" t="e">
        <f>VLOOKUP(A1154,'1201-29周均耗用'!$A$1:$C$602,3,FALSE)</f>
        <v>#N/A</v>
      </c>
    </row>
    <row r="1155" spans="1:9">
      <c r="A1155" s="13" t="s">
        <v>2315</v>
      </c>
      <c r="B1155" s="14" t="s">
        <v>2316</v>
      </c>
      <c r="C1155" s="13">
        <v>6</v>
      </c>
      <c r="D1155" s="7">
        <f>IFERROR(VLOOKUP(A1155,'1227-29耗量'!$A$1:$C$602,3,FALSE),0)</f>
        <v>0</v>
      </c>
      <c r="E1155" s="7">
        <f t="shared" ref="E1155:E1218" si="36">C1155-D1155</f>
        <v>6</v>
      </c>
      <c r="F1155" s="7" t="str">
        <f t="shared" ref="F1155:F1218" si="37">IFERROR(IF(E1155=G1155,"OK","錯誤"),"無資料")</f>
        <v>無資料</v>
      </c>
      <c r="G1155" s="7" t="e">
        <f>VLOOKUP(A1155,Sheet5!$A$2:$D$415,4,FALSE)</f>
        <v>#N/A</v>
      </c>
      <c r="H1155" s="7" t="e">
        <f>VLOOKUP(A1155,Sheet5!$A$2:$D$415,3,FALSE)</f>
        <v>#N/A</v>
      </c>
      <c r="I1155" s="7" t="e">
        <f>VLOOKUP(A1155,'1201-29周均耗用'!$A$1:$C$602,3,FALSE)</f>
        <v>#N/A</v>
      </c>
    </row>
    <row r="1156" spans="1:9">
      <c r="A1156" s="13" t="s">
        <v>2317</v>
      </c>
      <c r="B1156" s="14" t="s">
        <v>2318</v>
      </c>
      <c r="C1156" s="13">
        <v>220</v>
      </c>
      <c r="D1156" s="7">
        <f>IFERROR(VLOOKUP(A1156,'1227-29耗量'!$A$1:$C$602,3,FALSE),0)</f>
        <v>6</v>
      </c>
      <c r="E1156" s="7">
        <f t="shared" si="36"/>
        <v>214</v>
      </c>
      <c r="F1156" s="7" t="str">
        <f t="shared" si="37"/>
        <v>無資料</v>
      </c>
      <c r="G1156" s="7" t="e">
        <f>VLOOKUP(A1156,Sheet5!$A$2:$D$415,4,FALSE)</f>
        <v>#N/A</v>
      </c>
      <c r="H1156" s="7" t="e">
        <f>VLOOKUP(A1156,Sheet5!$A$2:$D$415,3,FALSE)</f>
        <v>#N/A</v>
      </c>
      <c r="I1156" s="7" t="e">
        <f>VLOOKUP(A1156,'1201-29周均耗用'!$A$1:$C$602,3,FALSE)</f>
        <v>#N/A</v>
      </c>
    </row>
    <row r="1157" spans="1:9">
      <c r="A1157" s="13" t="s">
        <v>2319</v>
      </c>
      <c r="B1157" s="14" t="s">
        <v>2320</v>
      </c>
      <c r="C1157" s="13">
        <v>498</v>
      </c>
      <c r="D1157" s="7">
        <f>IFERROR(VLOOKUP(A1157,'1227-29耗量'!$A$1:$C$602,3,FALSE),0)</f>
        <v>7</v>
      </c>
      <c r="E1157" s="7">
        <f t="shared" si="36"/>
        <v>491</v>
      </c>
      <c r="F1157" s="7" t="str">
        <f t="shared" si="37"/>
        <v>無資料</v>
      </c>
      <c r="G1157" s="7" t="e">
        <f>VLOOKUP(A1157,Sheet5!$A$2:$D$415,4,FALSE)</f>
        <v>#N/A</v>
      </c>
      <c r="H1157" s="7" t="e">
        <f>VLOOKUP(A1157,Sheet5!$A$2:$D$415,3,FALSE)</f>
        <v>#N/A</v>
      </c>
      <c r="I1157" s="7" t="e">
        <f>VLOOKUP(A1157,'1201-29周均耗用'!$A$1:$C$602,3,FALSE)</f>
        <v>#N/A</v>
      </c>
    </row>
    <row r="1158" spans="1:9">
      <c r="A1158" s="13" t="s">
        <v>2321</v>
      </c>
      <c r="B1158" s="14" t="s">
        <v>2322</v>
      </c>
      <c r="C1158" s="13">
        <v>0</v>
      </c>
      <c r="D1158" s="7">
        <f>IFERROR(VLOOKUP(A1158,'1227-29耗量'!$A$1:$C$602,3,FALSE),0)</f>
        <v>0</v>
      </c>
      <c r="E1158" s="7">
        <f t="shared" si="36"/>
        <v>0</v>
      </c>
      <c r="F1158" s="7" t="str">
        <f t="shared" si="37"/>
        <v>無資料</v>
      </c>
      <c r="G1158" s="7" t="e">
        <f>VLOOKUP(A1158,Sheet5!$A$2:$D$415,4,FALSE)</f>
        <v>#N/A</v>
      </c>
      <c r="H1158" s="7" t="e">
        <f>VLOOKUP(A1158,Sheet5!$A$2:$D$415,3,FALSE)</f>
        <v>#N/A</v>
      </c>
      <c r="I1158" s="7" t="e">
        <f>VLOOKUP(A1158,'1201-29周均耗用'!$A$1:$C$602,3,FALSE)</f>
        <v>#N/A</v>
      </c>
    </row>
    <row r="1159" spans="1:9">
      <c r="A1159" s="13" t="s">
        <v>2323</v>
      </c>
      <c r="B1159" s="14" t="s">
        <v>2324</v>
      </c>
      <c r="C1159" s="13">
        <v>22</v>
      </c>
      <c r="D1159" s="7">
        <f>VLOOKUP(A1159,'1227-29耗量'!$A$1:$C$602,3,FALSE)</f>
        <v>1</v>
      </c>
      <c r="E1159" s="7">
        <f t="shared" si="36"/>
        <v>21</v>
      </c>
      <c r="F1159" s="7" t="str">
        <f t="shared" si="37"/>
        <v>錯誤</v>
      </c>
      <c r="G1159" s="7">
        <f>VLOOKUP(A1159,Sheet5!$A$2:$D$415,4,FALSE)</f>
        <v>10</v>
      </c>
      <c r="H1159" s="7">
        <f>VLOOKUP(A1159,Sheet5!$A$2:$D$415,3,FALSE)</f>
        <v>50</v>
      </c>
      <c r="I1159" s="7" t="e">
        <f>VLOOKUP(A1159,'1201-29周均耗用'!$A$1:$C$602,3,FALSE)</f>
        <v>#N/A</v>
      </c>
    </row>
    <row r="1160" spans="1:9">
      <c r="A1160" s="13" t="s">
        <v>2325</v>
      </c>
      <c r="B1160" s="14" t="s">
        <v>2326</v>
      </c>
      <c r="C1160" s="13">
        <v>425</v>
      </c>
      <c r="D1160" s="7">
        <f>IFERROR(VLOOKUP(A1160,'1227-29耗量'!$A$1:$C$602,3,FALSE),0)</f>
        <v>10</v>
      </c>
      <c r="E1160" s="7">
        <f t="shared" si="36"/>
        <v>415</v>
      </c>
      <c r="F1160" s="7" t="str">
        <f t="shared" si="37"/>
        <v>無資料</v>
      </c>
      <c r="G1160" s="7" t="e">
        <f>VLOOKUP(A1160,Sheet5!$A$2:$D$415,4,FALSE)</f>
        <v>#N/A</v>
      </c>
      <c r="H1160" s="7" t="e">
        <f>VLOOKUP(A1160,Sheet5!$A$2:$D$415,3,FALSE)</f>
        <v>#N/A</v>
      </c>
      <c r="I1160" s="7" t="e">
        <f>VLOOKUP(A1160,'1201-29周均耗用'!$A$1:$C$602,3,FALSE)</f>
        <v>#N/A</v>
      </c>
    </row>
    <row r="1161" spans="1:9">
      <c r="A1161" s="13" t="s">
        <v>2327</v>
      </c>
      <c r="B1161" s="14" t="s">
        <v>2328</v>
      </c>
      <c r="C1161" s="13">
        <v>14</v>
      </c>
      <c r="D1161" s="7">
        <f>IFERROR(VLOOKUP(A1161,'1227-29耗量'!$A$1:$C$602,3,FALSE),0)</f>
        <v>0</v>
      </c>
      <c r="E1161" s="7">
        <f t="shared" si="36"/>
        <v>14</v>
      </c>
      <c r="F1161" s="7" t="str">
        <f t="shared" si="37"/>
        <v>無資料</v>
      </c>
      <c r="G1161" s="7" t="e">
        <f>VLOOKUP(A1161,Sheet5!$A$2:$D$415,4,FALSE)</f>
        <v>#N/A</v>
      </c>
      <c r="H1161" s="7" t="e">
        <f>VLOOKUP(A1161,Sheet5!$A$2:$D$415,3,FALSE)</f>
        <v>#N/A</v>
      </c>
      <c r="I1161" s="7" t="e">
        <f>VLOOKUP(A1161,'1201-29周均耗用'!$A$1:$C$602,3,FALSE)</f>
        <v>#N/A</v>
      </c>
    </row>
    <row r="1162" spans="1:9">
      <c r="A1162" s="13" t="s">
        <v>2329</v>
      </c>
      <c r="B1162" s="14" t="s">
        <v>2330</v>
      </c>
      <c r="C1162" s="13">
        <v>25</v>
      </c>
      <c r="D1162" s="7">
        <f>VLOOKUP(A1162,'1227-29耗量'!$A$1:$C$602,3,FALSE)</f>
        <v>1</v>
      </c>
      <c r="E1162" s="7">
        <f t="shared" si="36"/>
        <v>24</v>
      </c>
      <c r="F1162" s="7" t="str">
        <f t="shared" si="37"/>
        <v>錯誤</v>
      </c>
      <c r="G1162" s="7">
        <f>VLOOKUP(A1162,Sheet5!$A$2:$D$415,4,FALSE)</f>
        <v>17</v>
      </c>
      <c r="H1162" s="7">
        <f>VLOOKUP(A1162,Sheet5!$A$2:$D$415,3,FALSE)</f>
        <v>10</v>
      </c>
      <c r="I1162" s="7" t="e">
        <f>VLOOKUP(A1162,'1201-29周均耗用'!$A$1:$C$602,3,FALSE)</f>
        <v>#N/A</v>
      </c>
    </row>
    <row r="1163" spans="1:9">
      <c r="A1163" s="13" t="s">
        <v>2331</v>
      </c>
      <c r="B1163" s="14" t="s">
        <v>2332</v>
      </c>
      <c r="C1163" s="13">
        <v>0</v>
      </c>
      <c r="D1163" s="7">
        <f>IFERROR(VLOOKUP(A1163,'1227-29耗量'!$A$1:$C$602,3,FALSE),0)</f>
        <v>0</v>
      </c>
      <c r="E1163" s="7">
        <f t="shared" si="36"/>
        <v>0</v>
      </c>
      <c r="F1163" s="7" t="str">
        <f t="shared" si="37"/>
        <v>無資料</v>
      </c>
      <c r="G1163" s="7" t="e">
        <f>VLOOKUP(A1163,Sheet5!$A$2:$D$415,4,FALSE)</f>
        <v>#N/A</v>
      </c>
      <c r="H1163" s="7" t="e">
        <f>VLOOKUP(A1163,Sheet5!$A$2:$D$415,3,FALSE)</f>
        <v>#N/A</v>
      </c>
      <c r="I1163" s="7" t="e">
        <f>VLOOKUP(A1163,'1201-29周均耗用'!$A$1:$C$602,3,FALSE)</f>
        <v>#N/A</v>
      </c>
    </row>
    <row r="1164" spans="1:9">
      <c r="A1164" s="13" t="s">
        <v>2333</v>
      </c>
      <c r="B1164" s="14" t="s">
        <v>2334</v>
      </c>
      <c r="C1164" s="13">
        <v>98</v>
      </c>
      <c r="D1164" s="7">
        <f>IFERROR(VLOOKUP(A1164,'1227-29耗量'!$A$1:$C$602,3,FALSE),0)</f>
        <v>2</v>
      </c>
      <c r="E1164" s="7">
        <f t="shared" si="36"/>
        <v>96</v>
      </c>
      <c r="F1164" s="7" t="str">
        <f t="shared" si="37"/>
        <v>無資料</v>
      </c>
      <c r="G1164" s="7" t="e">
        <f>VLOOKUP(A1164,Sheet5!$A$2:$D$415,4,FALSE)</f>
        <v>#N/A</v>
      </c>
      <c r="H1164" s="7" t="e">
        <f>VLOOKUP(A1164,Sheet5!$A$2:$D$415,3,FALSE)</f>
        <v>#N/A</v>
      </c>
      <c r="I1164" s="7">
        <f>VLOOKUP(A1164,'1201-29周均耗用'!$A$1:$C$602,3,FALSE)</f>
        <v>8</v>
      </c>
    </row>
    <row r="1165" spans="1:9">
      <c r="A1165" s="13" t="s">
        <v>2335</v>
      </c>
      <c r="B1165" s="14" t="s">
        <v>2336</v>
      </c>
      <c r="C1165" s="13">
        <v>800</v>
      </c>
      <c r="D1165" s="7">
        <f>VLOOKUP(A1165,'1227-29耗量'!$A$1:$C$602,3,FALSE)</f>
        <v>58</v>
      </c>
      <c r="E1165" s="7">
        <f t="shared" si="36"/>
        <v>742</v>
      </c>
      <c r="F1165" s="7" t="str">
        <f t="shared" si="37"/>
        <v>錯誤</v>
      </c>
      <c r="G1165" s="7">
        <f>VLOOKUP(A1165,Sheet5!$A$2:$D$415,4,FALSE)</f>
        <v>465</v>
      </c>
      <c r="H1165" s="7">
        <f>VLOOKUP(A1165,Sheet5!$A$2:$D$415,3,FALSE)</f>
        <v>810</v>
      </c>
      <c r="I1165" s="7" t="e">
        <f>VLOOKUP(A1165,'1201-29周均耗用'!$A$1:$C$602,3,FALSE)</f>
        <v>#N/A</v>
      </c>
    </row>
    <row r="1166" spans="1:9">
      <c r="A1166" s="13" t="s">
        <v>2337</v>
      </c>
      <c r="B1166" s="14" t="s">
        <v>2338</v>
      </c>
      <c r="C1166" s="13">
        <v>2</v>
      </c>
      <c r="D1166" s="7">
        <f>IFERROR(VLOOKUP(A1166,'1227-29耗量'!$A$1:$C$602,3,FALSE),0)</f>
        <v>0</v>
      </c>
      <c r="E1166" s="7">
        <f t="shared" si="36"/>
        <v>2</v>
      </c>
      <c r="F1166" s="7" t="str">
        <f t="shared" si="37"/>
        <v>錯誤</v>
      </c>
      <c r="G1166" s="7">
        <f>VLOOKUP(A1166,Sheet5!$A$2:$D$415,4,FALSE)</f>
        <v>6</v>
      </c>
      <c r="H1166" s="7">
        <f>VLOOKUP(A1166,Sheet5!$A$2:$D$415,3,FALSE)</f>
        <v>0</v>
      </c>
      <c r="I1166" s="7">
        <f>VLOOKUP(A1166,'1201-29周均耗用'!$A$1:$C$602,3,FALSE)</f>
        <v>3.5</v>
      </c>
    </row>
    <row r="1167" spans="1:9">
      <c r="A1167" s="13" t="s">
        <v>2339</v>
      </c>
      <c r="B1167" s="14" t="s">
        <v>2340</v>
      </c>
      <c r="C1167" s="13">
        <v>2280</v>
      </c>
      <c r="D1167" s="7">
        <f>VLOOKUP(A1167,'1227-29耗量'!$A$1:$C$602,3,FALSE)</f>
        <v>66</v>
      </c>
      <c r="E1167" s="7">
        <f t="shared" si="36"/>
        <v>2214</v>
      </c>
      <c r="F1167" s="7" t="str">
        <f t="shared" si="37"/>
        <v>錯誤</v>
      </c>
      <c r="G1167" s="7">
        <f>VLOOKUP(A1167,Sheet5!$A$2:$D$415,4,FALSE)</f>
        <v>1238</v>
      </c>
      <c r="H1167" s="7">
        <f>VLOOKUP(A1167,Sheet5!$A$2:$D$415,3,FALSE)</f>
        <v>3000</v>
      </c>
      <c r="I1167" s="7" t="e">
        <f>VLOOKUP(A1167,'1201-29周均耗用'!$A$1:$C$602,3,FALSE)</f>
        <v>#N/A</v>
      </c>
    </row>
    <row r="1168" spans="1:9">
      <c r="A1168" s="13" t="s">
        <v>2341</v>
      </c>
      <c r="B1168" s="14" t="s">
        <v>2342</v>
      </c>
      <c r="C1168" s="13">
        <v>216</v>
      </c>
      <c r="D1168" s="7">
        <f>IFERROR(VLOOKUP(A1168,'1227-29耗量'!$A$1:$C$602,3,FALSE),0)</f>
        <v>31</v>
      </c>
      <c r="E1168" s="7">
        <f t="shared" si="36"/>
        <v>185</v>
      </c>
      <c r="F1168" s="7" t="str">
        <f t="shared" si="37"/>
        <v>無資料</v>
      </c>
      <c r="G1168" s="7" t="e">
        <f>VLOOKUP(A1168,Sheet5!$A$2:$D$415,4,FALSE)</f>
        <v>#N/A</v>
      </c>
      <c r="H1168" s="7" t="e">
        <f>VLOOKUP(A1168,Sheet5!$A$2:$D$415,3,FALSE)</f>
        <v>#N/A</v>
      </c>
      <c r="I1168" s="7">
        <f>VLOOKUP(A1168,'1201-29周均耗用'!$A$1:$C$602,3,FALSE)</f>
        <v>146</v>
      </c>
    </row>
    <row r="1169" spans="1:9">
      <c r="A1169" s="13" t="s">
        <v>2343</v>
      </c>
      <c r="B1169" s="14" t="s">
        <v>2344</v>
      </c>
      <c r="C1169" s="13">
        <v>0</v>
      </c>
      <c r="D1169" s="7">
        <f>IFERROR(VLOOKUP(A1169,'1227-29耗量'!$A$1:$C$602,3,FALSE),0)</f>
        <v>0</v>
      </c>
      <c r="E1169" s="7">
        <f t="shared" si="36"/>
        <v>0</v>
      </c>
      <c r="F1169" s="7" t="str">
        <f t="shared" si="37"/>
        <v>無資料</v>
      </c>
      <c r="G1169" s="7" t="e">
        <f>VLOOKUP(A1169,Sheet5!$A$2:$D$415,4,FALSE)</f>
        <v>#N/A</v>
      </c>
      <c r="H1169" s="7" t="e">
        <f>VLOOKUP(A1169,Sheet5!$A$2:$D$415,3,FALSE)</f>
        <v>#N/A</v>
      </c>
      <c r="I1169" s="7" t="e">
        <f>VLOOKUP(A1169,'1201-29周均耗用'!$A$1:$C$602,3,FALSE)</f>
        <v>#N/A</v>
      </c>
    </row>
    <row r="1170" spans="1:9">
      <c r="A1170" s="13" t="s">
        <v>2345</v>
      </c>
      <c r="B1170" s="14" t="s">
        <v>2346</v>
      </c>
      <c r="C1170" s="13">
        <v>0</v>
      </c>
      <c r="D1170" s="7">
        <f>IFERROR(VLOOKUP(A1170,'1227-29耗量'!$A$1:$C$602,3,FALSE),0)</f>
        <v>0</v>
      </c>
      <c r="E1170" s="7">
        <f t="shared" si="36"/>
        <v>0</v>
      </c>
      <c r="F1170" s="7" t="str">
        <f t="shared" si="37"/>
        <v>無資料</v>
      </c>
      <c r="G1170" s="7" t="e">
        <f>VLOOKUP(A1170,Sheet5!$A$2:$D$415,4,FALSE)</f>
        <v>#N/A</v>
      </c>
      <c r="H1170" s="7" t="e">
        <f>VLOOKUP(A1170,Sheet5!$A$2:$D$415,3,FALSE)</f>
        <v>#N/A</v>
      </c>
      <c r="I1170" s="7" t="e">
        <f>VLOOKUP(A1170,'1201-29周均耗用'!$A$1:$C$602,3,FALSE)</f>
        <v>#N/A</v>
      </c>
    </row>
    <row r="1171" spans="1:9">
      <c r="A1171" s="13" t="s">
        <v>2347</v>
      </c>
      <c r="B1171" s="14" t="s">
        <v>2348</v>
      </c>
      <c r="C1171" s="13">
        <v>247</v>
      </c>
      <c r="D1171" s="7">
        <f>VLOOKUP(A1171,'1227-29耗量'!$A$1:$C$602,3,FALSE)</f>
        <v>20</v>
      </c>
      <c r="E1171" s="7">
        <f t="shared" si="36"/>
        <v>227</v>
      </c>
      <c r="F1171" s="7" t="str">
        <f t="shared" si="37"/>
        <v>錯誤</v>
      </c>
      <c r="G1171" s="7">
        <f>VLOOKUP(A1171,Sheet5!$A$2:$D$415,4,FALSE)</f>
        <v>156</v>
      </c>
      <c r="H1171" s="7">
        <f>VLOOKUP(A1171,Sheet5!$A$2:$D$415,3,FALSE)</f>
        <v>360</v>
      </c>
      <c r="I1171" s="7" t="e">
        <f>VLOOKUP(A1171,'1201-29周均耗用'!$A$1:$C$602,3,FALSE)</f>
        <v>#N/A</v>
      </c>
    </row>
    <row r="1172" spans="1:9">
      <c r="A1172" s="13" t="s">
        <v>2349</v>
      </c>
      <c r="B1172" s="14" t="s">
        <v>2350</v>
      </c>
      <c r="C1172" s="13">
        <v>0</v>
      </c>
      <c r="D1172" s="7">
        <f>IFERROR(VLOOKUP(A1172,'1227-29耗量'!$A$1:$C$602,3,FALSE),0)</f>
        <v>0</v>
      </c>
      <c r="E1172" s="7">
        <f t="shared" si="36"/>
        <v>0</v>
      </c>
      <c r="F1172" s="7" t="str">
        <f t="shared" si="37"/>
        <v>無資料</v>
      </c>
      <c r="G1172" s="7" t="e">
        <f>VLOOKUP(A1172,Sheet5!$A$2:$D$415,4,FALSE)</f>
        <v>#N/A</v>
      </c>
      <c r="H1172" s="7" t="e">
        <f>VLOOKUP(A1172,Sheet5!$A$2:$D$415,3,FALSE)</f>
        <v>#N/A</v>
      </c>
      <c r="I1172" s="7" t="e">
        <f>VLOOKUP(A1172,'1201-29周均耗用'!$A$1:$C$602,3,FALSE)</f>
        <v>#N/A</v>
      </c>
    </row>
    <row r="1173" spans="1:9">
      <c r="A1173" s="13" t="s">
        <v>2351</v>
      </c>
      <c r="B1173" s="14" t="s">
        <v>2352</v>
      </c>
      <c r="C1173" s="13">
        <v>0</v>
      </c>
      <c r="D1173" s="7">
        <f>IFERROR(VLOOKUP(A1173,'1227-29耗量'!$A$1:$C$602,3,FALSE),0)</f>
        <v>0</v>
      </c>
      <c r="E1173" s="7">
        <f t="shared" si="36"/>
        <v>0</v>
      </c>
      <c r="F1173" s="7" t="str">
        <f t="shared" si="37"/>
        <v>無資料</v>
      </c>
      <c r="G1173" s="7" t="e">
        <f>VLOOKUP(A1173,Sheet5!$A$2:$D$415,4,FALSE)</f>
        <v>#N/A</v>
      </c>
      <c r="H1173" s="7" t="e">
        <f>VLOOKUP(A1173,Sheet5!$A$2:$D$415,3,FALSE)</f>
        <v>#N/A</v>
      </c>
      <c r="I1173" s="7" t="e">
        <f>VLOOKUP(A1173,'1201-29周均耗用'!$A$1:$C$602,3,FALSE)</f>
        <v>#N/A</v>
      </c>
    </row>
    <row r="1174" spans="1:9">
      <c r="A1174" s="13" t="s">
        <v>2353</v>
      </c>
      <c r="B1174" s="14" t="s">
        <v>2354</v>
      </c>
      <c r="C1174" s="13">
        <v>0</v>
      </c>
      <c r="D1174" s="7">
        <f>IFERROR(VLOOKUP(A1174,'1227-29耗量'!$A$1:$C$602,3,FALSE),0)</f>
        <v>0</v>
      </c>
      <c r="E1174" s="7">
        <f t="shared" si="36"/>
        <v>0</v>
      </c>
      <c r="F1174" s="7" t="str">
        <f t="shared" si="37"/>
        <v>無資料</v>
      </c>
      <c r="G1174" s="7" t="e">
        <f>VLOOKUP(A1174,Sheet5!$A$2:$D$415,4,FALSE)</f>
        <v>#N/A</v>
      </c>
      <c r="H1174" s="7" t="e">
        <f>VLOOKUP(A1174,Sheet5!$A$2:$D$415,3,FALSE)</f>
        <v>#N/A</v>
      </c>
      <c r="I1174" s="7" t="e">
        <f>VLOOKUP(A1174,'1201-29周均耗用'!$A$1:$C$602,3,FALSE)</f>
        <v>#N/A</v>
      </c>
    </row>
    <row r="1175" spans="1:9">
      <c r="A1175" s="13" t="s">
        <v>2355</v>
      </c>
      <c r="B1175" s="14" t="s">
        <v>2356</v>
      </c>
      <c r="C1175" s="13">
        <v>60</v>
      </c>
      <c r="D1175" s="7">
        <f>IFERROR(VLOOKUP(A1175,'1227-29耗量'!$A$1:$C$602,3,FALSE),0)</f>
        <v>2</v>
      </c>
      <c r="E1175" s="7">
        <f t="shared" si="36"/>
        <v>58</v>
      </c>
      <c r="F1175" s="7" t="str">
        <f t="shared" si="37"/>
        <v>無資料</v>
      </c>
      <c r="G1175" s="7" t="e">
        <f>VLOOKUP(A1175,Sheet5!$A$2:$D$415,4,FALSE)</f>
        <v>#N/A</v>
      </c>
      <c r="H1175" s="7" t="e">
        <f>VLOOKUP(A1175,Sheet5!$A$2:$D$415,3,FALSE)</f>
        <v>#N/A</v>
      </c>
      <c r="I1175" s="7">
        <f>VLOOKUP(A1175,'1201-29周均耗用'!$A$1:$C$602,3,FALSE)</f>
        <v>8.8</v>
      </c>
    </row>
    <row r="1176" spans="1:9">
      <c r="A1176" s="13" t="s">
        <v>2357</v>
      </c>
      <c r="B1176" s="14" t="s">
        <v>2358</v>
      </c>
      <c r="C1176" s="13">
        <v>226</v>
      </c>
      <c r="D1176" s="7">
        <f>IFERROR(VLOOKUP(A1176,'1227-29耗量'!$A$1:$C$602,3,FALSE),0)</f>
        <v>2</v>
      </c>
      <c r="E1176" s="7">
        <f t="shared" si="36"/>
        <v>224</v>
      </c>
      <c r="F1176" s="7" t="str">
        <f t="shared" si="37"/>
        <v>無資料</v>
      </c>
      <c r="G1176" s="7" t="e">
        <f>VLOOKUP(A1176,Sheet5!$A$2:$D$415,4,FALSE)</f>
        <v>#N/A</v>
      </c>
      <c r="H1176" s="7" t="e">
        <f>VLOOKUP(A1176,Sheet5!$A$2:$D$415,3,FALSE)</f>
        <v>#N/A</v>
      </c>
      <c r="I1176" s="7" t="e">
        <f>VLOOKUP(A1176,'1201-29周均耗用'!$A$1:$C$602,3,FALSE)</f>
        <v>#N/A</v>
      </c>
    </row>
    <row r="1177" spans="1:9">
      <c r="A1177" s="13" t="s">
        <v>2359</v>
      </c>
      <c r="B1177" s="14" t="s">
        <v>2360</v>
      </c>
      <c r="C1177" s="13">
        <v>167</v>
      </c>
      <c r="D1177" s="7">
        <f>IFERROR(VLOOKUP(A1177,'1227-29耗量'!$A$1:$C$602,3,FALSE),0)</f>
        <v>0</v>
      </c>
      <c r="E1177" s="7">
        <f t="shared" si="36"/>
        <v>167</v>
      </c>
      <c r="F1177" s="7" t="str">
        <f t="shared" si="37"/>
        <v>錯誤</v>
      </c>
      <c r="G1177" s="7">
        <f>VLOOKUP(A1177,Sheet5!$A$2:$D$415,4,FALSE)</f>
        <v>194</v>
      </c>
      <c r="H1177" s="7">
        <f>VLOOKUP(A1177,Sheet5!$A$2:$D$415,3,FALSE)</f>
        <v>100</v>
      </c>
      <c r="I1177" s="7" t="e">
        <f>VLOOKUP(A1177,'1201-29周均耗用'!$A$1:$C$602,3,FALSE)</f>
        <v>#N/A</v>
      </c>
    </row>
    <row r="1178" spans="1:9">
      <c r="A1178" s="13" t="s">
        <v>2361</v>
      </c>
      <c r="B1178" s="14" t="s">
        <v>2362</v>
      </c>
      <c r="C1178" s="13">
        <v>92</v>
      </c>
      <c r="D1178" s="7">
        <f>VLOOKUP(A1178,'1227-29耗量'!$A$1:$C$602,3,FALSE)</f>
        <v>1</v>
      </c>
      <c r="E1178" s="7">
        <f t="shared" si="36"/>
        <v>91</v>
      </c>
      <c r="F1178" s="7" t="str">
        <f t="shared" si="37"/>
        <v>錯誤</v>
      </c>
      <c r="G1178" s="7">
        <f>VLOOKUP(A1178,Sheet5!$A$2:$D$415,4,FALSE)</f>
        <v>13</v>
      </c>
      <c r="H1178" s="7">
        <f>VLOOKUP(A1178,Sheet5!$A$2:$D$415,3,FALSE)</f>
        <v>56</v>
      </c>
      <c r="I1178" s="7" t="e">
        <f>VLOOKUP(A1178,'1201-29周均耗用'!$A$1:$C$602,3,FALSE)</f>
        <v>#N/A</v>
      </c>
    </row>
    <row r="1179" spans="1:9">
      <c r="A1179" s="13" t="s">
        <v>2363</v>
      </c>
      <c r="B1179" s="14" t="s">
        <v>2364</v>
      </c>
      <c r="C1179" s="13">
        <v>1</v>
      </c>
      <c r="D1179" s="7">
        <f>IFERROR(VLOOKUP(A1179,'1227-29耗量'!$A$1:$C$602,3,FALSE),0)</f>
        <v>0</v>
      </c>
      <c r="E1179" s="7">
        <f t="shared" si="36"/>
        <v>1</v>
      </c>
      <c r="F1179" s="7" t="str">
        <f t="shared" si="37"/>
        <v>無資料</v>
      </c>
      <c r="G1179" s="7" t="e">
        <f>VLOOKUP(A1179,Sheet5!$A$2:$D$415,4,FALSE)</f>
        <v>#N/A</v>
      </c>
      <c r="H1179" s="7" t="e">
        <f>VLOOKUP(A1179,Sheet5!$A$2:$D$415,3,FALSE)</f>
        <v>#N/A</v>
      </c>
      <c r="I1179" s="7" t="e">
        <f>VLOOKUP(A1179,'1201-29周均耗用'!$A$1:$C$602,3,FALSE)</f>
        <v>#N/A</v>
      </c>
    </row>
    <row r="1180" spans="1:9">
      <c r="A1180" s="13" t="s">
        <v>2365</v>
      </c>
      <c r="B1180" s="14" t="s">
        <v>2366</v>
      </c>
      <c r="C1180" s="13">
        <v>0</v>
      </c>
      <c r="D1180" s="7">
        <f>IFERROR(VLOOKUP(A1180,'1227-29耗量'!$A$1:$C$602,3,FALSE),0)</f>
        <v>0</v>
      </c>
      <c r="E1180" s="7">
        <f t="shared" si="36"/>
        <v>0</v>
      </c>
      <c r="F1180" s="7" t="str">
        <f t="shared" si="37"/>
        <v>無資料</v>
      </c>
      <c r="G1180" s="7" t="e">
        <f>VLOOKUP(A1180,Sheet5!$A$2:$D$415,4,FALSE)</f>
        <v>#N/A</v>
      </c>
      <c r="H1180" s="7" t="e">
        <f>VLOOKUP(A1180,Sheet5!$A$2:$D$415,3,FALSE)</f>
        <v>#N/A</v>
      </c>
      <c r="I1180" s="7" t="e">
        <f>VLOOKUP(A1180,'1201-29周均耗用'!$A$1:$C$602,3,FALSE)</f>
        <v>#N/A</v>
      </c>
    </row>
    <row r="1181" spans="1:9">
      <c r="A1181" s="13" t="s">
        <v>2367</v>
      </c>
      <c r="B1181" s="14" t="s">
        <v>2368</v>
      </c>
      <c r="C1181" s="13">
        <v>0</v>
      </c>
      <c r="D1181" s="7">
        <f>IFERROR(VLOOKUP(A1181,'1227-29耗量'!$A$1:$C$602,3,FALSE),0)</f>
        <v>0</v>
      </c>
      <c r="E1181" s="7">
        <f t="shared" si="36"/>
        <v>0</v>
      </c>
      <c r="F1181" s="7" t="str">
        <f t="shared" si="37"/>
        <v>無資料</v>
      </c>
      <c r="G1181" s="7" t="e">
        <f>VLOOKUP(A1181,Sheet5!$A$2:$D$415,4,FALSE)</f>
        <v>#N/A</v>
      </c>
      <c r="H1181" s="7" t="e">
        <f>VLOOKUP(A1181,Sheet5!$A$2:$D$415,3,FALSE)</f>
        <v>#N/A</v>
      </c>
      <c r="I1181" s="7" t="e">
        <f>VLOOKUP(A1181,'1201-29周均耗用'!$A$1:$C$602,3,FALSE)</f>
        <v>#N/A</v>
      </c>
    </row>
    <row r="1182" spans="1:9">
      <c r="A1182" s="13" t="s">
        <v>2369</v>
      </c>
      <c r="B1182" s="14" t="s">
        <v>2370</v>
      </c>
      <c r="C1182" s="13">
        <v>0</v>
      </c>
      <c r="D1182" s="7">
        <f>IFERROR(VLOOKUP(A1182,'1227-29耗量'!$A$1:$C$602,3,FALSE),0)</f>
        <v>0</v>
      </c>
      <c r="E1182" s="7">
        <f t="shared" si="36"/>
        <v>0</v>
      </c>
      <c r="F1182" s="7" t="str">
        <f t="shared" si="37"/>
        <v>無資料</v>
      </c>
      <c r="G1182" s="7" t="e">
        <f>VLOOKUP(A1182,Sheet5!$A$2:$D$415,4,FALSE)</f>
        <v>#N/A</v>
      </c>
      <c r="H1182" s="7" t="e">
        <f>VLOOKUP(A1182,Sheet5!$A$2:$D$415,3,FALSE)</f>
        <v>#N/A</v>
      </c>
      <c r="I1182" s="7" t="e">
        <f>VLOOKUP(A1182,'1201-29周均耗用'!$A$1:$C$602,3,FALSE)</f>
        <v>#N/A</v>
      </c>
    </row>
    <row r="1183" spans="1:9">
      <c r="A1183" s="13" t="s">
        <v>2371</v>
      </c>
      <c r="B1183" s="14" t="s">
        <v>2372</v>
      </c>
      <c r="C1183" s="13">
        <v>166</v>
      </c>
      <c r="D1183" s="7">
        <f>IFERROR(VLOOKUP(A1183,'1227-29耗量'!$A$1:$C$602,3,FALSE),0)</f>
        <v>0</v>
      </c>
      <c r="E1183" s="7">
        <f t="shared" si="36"/>
        <v>166</v>
      </c>
      <c r="F1183" s="7" t="str">
        <f t="shared" si="37"/>
        <v>錯誤</v>
      </c>
      <c r="G1183" s="7">
        <f>VLOOKUP(A1183,Sheet5!$A$2:$D$415,4,FALSE)</f>
        <v>70</v>
      </c>
      <c r="H1183" s="7">
        <f>VLOOKUP(A1183,Sheet5!$A$2:$D$415,3,FALSE)</f>
        <v>168</v>
      </c>
      <c r="I1183" s="7" t="e">
        <f>VLOOKUP(A1183,'1201-29周均耗用'!$A$1:$C$602,3,FALSE)</f>
        <v>#N/A</v>
      </c>
    </row>
    <row r="1184" spans="1:9">
      <c r="A1184" s="13" t="s">
        <v>2373</v>
      </c>
      <c r="B1184" s="14" t="s">
        <v>2374</v>
      </c>
      <c r="C1184" s="13">
        <v>0</v>
      </c>
      <c r="D1184" s="7">
        <f>IFERROR(VLOOKUP(A1184,'1227-29耗量'!$A$1:$C$602,3,FALSE),0)</f>
        <v>0</v>
      </c>
      <c r="E1184" s="7">
        <f t="shared" si="36"/>
        <v>0</v>
      </c>
      <c r="F1184" s="7" t="str">
        <f t="shared" si="37"/>
        <v>無資料</v>
      </c>
      <c r="G1184" s="7" t="e">
        <f>VLOOKUP(A1184,Sheet5!$A$2:$D$415,4,FALSE)</f>
        <v>#N/A</v>
      </c>
      <c r="H1184" s="7" t="e">
        <f>VLOOKUP(A1184,Sheet5!$A$2:$D$415,3,FALSE)</f>
        <v>#N/A</v>
      </c>
      <c r="I1184" s="7" t="e">
        <f>VLOOKUP(A1184,'1201-29周均耗用'!$A$1:$C$602,3,FALSE)</f>
        <v>#N/A</v>
      </c>
    </row>
    <row r="1185" spans="1:9">
      <c r="A1185" s="13" t="s">
        <v>2375</v>
      </c>
      <c r="B1185" s="14" t="s">
        <v>2376</v>
      </c>
      <c r="C1185" s="13">
        <v>279</v>
      </c>
      <c r="D1185" s="7">
        <f>VLOOKUP(A1185,'1227-29耗量'!$A$1:$C$602,3,FALSE)</f>
        <v>1</v>
      </c>
      <c r="E1185" s="7">
        <f t="shared" si="36"/>
        <v>278</v>
      </c>
      <c r="F1185" s="7" t="str">
        <f t="shared" si="37"/>
        <v>錯誤</v>
      </c>
      <c r="G1185" s="7">
        <f>VLOOKUP(A1185,Sheet5!$A$2:$D$415,4,FALSE)</f>
        <v>175</v>
      </c>
      <c r="H1185" s="7">
        <f>VLOOKUP(A1185,Sheet5!$A$2:$D$415,3,FALSE)</f>
        <v>210</v>
      </c>
      <c r="I1185" s="7" t="e">
        <f>VLOOKUP(A1185,'1201-29周均耗用'!$A$1:$C$602,3,FALSE)</f>
        <v>#N/A</v>
      </c>
    </row>
    <row r="1186" spans="1:9">
      <c r="A1186" s="13" t="s">
        <v>2377</v>
      </c>
      <c r="B1186" s="14" t="s">
        <v>2378</v>
      </c>
      <c r="C1186" s="13">
        <v>64</v>
      </c>
      <c r="D1186" s="7">
        <f>VLOOKUP(A1186,'1227-29耗量'!$A$1:$C$602,3,FALSE)</f>
        <v>6</v>
      </c>
      <c r="E1186" s="7">
        <f t="shared" si="36"/>
        <v>58</v>
      </c>
      <c r="F1186" s="7" t="str">
        <f t="shared" si="37"/>
        <v>錯誤</v>
      </c>
      <c r="G1186" s="7">
        <f>VLOOKUP(A1186,Sheet5!$A$2:$D$415,4,FALSE)</f>
        <v>43</v>
      </c>
      <c r="H1186" s="7">
        <f>VLOOKUP(A1186,Sheet5!$A$2:$D$415,3,FALSE)</f>
        <v>30</v>
      </c>
      <c r="I1186" s="7">
        <f>VLOOKUP(A1186,'1201-29周均耗用'!$A$1:$C$602,3,FALSE)</f>
        <v>10.5</v>
      </c>
    </row>
    <row r="1187" spans="1:9">
      <c r="A1187" s="13" t="s">
        <v>2379</v>
      </c>
      <c r="B1187" s="14" t="s">
        <v>2380</v>
      </c>
      <c r="C1187" s="13">
        <v>0</v>
      </c>
      <c r="D1187" s="7">
        <f>IFERROR(VLOOKUP(A1187,'1227-29耗量'!$A$1:$C$602,3,FALSE),0)</f>
        <v>0</v>
      </c>
      <c r="E1187" s="7">
        <f t="shared" si="36"/>
        <v>0</v>
      </c>
      <c r="F1187" s="7" t="str">
        <f t="shared" si="37"/>
        <v>無資料</v>
      </c>
      <c r="G1187" s="7" t="e">
        <f>VLOOKUP(A1187,Sheet5!$A$2:$D$415,4,FALSE)</f>
        <v>#N/A</v>
      </c>
      <c r="H1187" s="7" t="e">
        <f>VLOOKUP(A1187,Sheet5!$A$2:$D$415,3,FALSE)</f>
        <v>#N/A</v>
      </c>
      <c r="I1187" s="7" t="e">
        <f>VLOOKUP(A1187,'1201-29周均耗用'!$A$1:$C$602,3,FALSE)</f>
        <v>#N/A</v>
      </c>
    </row>
    <row r="1188" spans="1:9">
      <c r="A1188" s="13" t="s">
        <v>2381</v>
      </c>
      <c r="B1188" s="14" t="s">
        <v>2382</v>
      </c>
      <c r="C1188" s="13">
        <v>0</v>
      </c>
      <c r="D1188" s="7">
        <f>IFERROR(VLOOKUP(A1188,'1227-29耗量'!$A$1:$C$602,3,FALSE),0)</f>
        <v>0</v>
      </c>
      <c r="E1188" s="7">
        <f t="shared" si="36"/>
        <v>0</v>
      </c>
      <c r="F1188" s="7" t="str">
        <f t="shared" si="37"/>
        <v>無資料</v>
      </c>
      <c r="G1188" s="7" t="e">
        <f>VLOOKUP(A1188,Sheet5!$A$2:$D$415,4,FALSE)</f>
        <v>#N/A</v>
      </c>
      <c r="H1188" s="7" t="e">
        <f>VLOOKUP(A1188,Sheet5!$A$2:$D$415,3,FALSE)</f>
        <v>#N/A</v>
      </c>
      <c r="I1188" s="7" t="e">
        <f>VLOOKUP(A1188,'1201-29周均耗用'!$A$1:$C$602,3,FALSE)</f>
        <v>#N/A</v>
      </c>
    </row>
    <row r="1189" spans="1:9">
      <c r="A1189" s="13" t="s">
        <v>2383</v>
      </c>
      <c r="B1189" s="14" t="s">
        <v>2384</v>
      </c>
      <c r="C1189" s="13">
        <v>112</v>
      </c>
      <c r="D1189" s="7">
        <f>IFERROR(VLOOKUP(A1189,'1227-29耗量'!$A$1:$C$602,3,FALSE),0)</f>
        <v>0</v>
      </c>
      <c r="E1189" s="7">
        <f t="shared" si="36"/>
        <v>112</v>
      </c>
      <c r="F1189" s="7" t="str">
        <f t="shared" si="37"/>
        <v>錯誤</v>
      </c>
      <c r="G1189" s="7">
        <f>VLOOKUP(A1189,Sheet5!$A$2:$D$415,4,FALSE)</f>
        <v>26</v>
      </c>
      <c r="H1189" s="7">
        <f>VLOOKUP(A1189,Sheet5!$A$2:$D$415,3,FALSE)</f>
        <v>140</v>
      </c>
      <c r="I1189" s="7" t="e">
        <f>VLOOKUP(A1189,'1201-29周均耗用'!$A$1:$C$602,3,FALSE)</f>
        <v>#N/A</v>
      </c>
    </row>
    <row r="1190" spans="1:9">
      <c r="A1190" s="13" t="s">
        <v>2385</v>
      </c>
      <c r="B1190" s="14" t="s">
        <v>2386</v>
      </c>
      <c r="C1190" s="13">
        <v>237</v>
      </c>
      <c r="D1190" s="7">
        <f>VLOOKUP(A1190,'1227-29耗量'!$A$1:$C$602,3,FALSE)</f>
        <v>6</v>
      </c>
      <c r="E1190" s="7">
        <f t="shared" si="36"/>
        <v>231</v>
      </c>
      <c r="F1190" s="7" t="str">
        <f t="shared" si="37"/>
        <v>錯誤</v>
      </c>
      <c r="G1190" s="7">
        <f>VLOOKUP(A1190,Sheet5!$A$2:$D$415,4,FALSE)</f>
        <v>159</v>
      </c>
      <c r="H1190" s="7">
        <f>VLOOKUP(A1190,Sheet5!$A$2:$D$415,3,FALSE)</f>
        <v>500</v>
      </c>
      <c r="I1190" s="7">
        <f>VLOOKUP(A1190,'1201-29周均耗用'!$A$1:$C$602,3,FALSE)</f>
        <v>152</v>
      </c>
    </row>
    <row r="1191" spans="1:9">
      <c r="A1191" s="13" t="s">
        <v>2387</v>
      </c>
      <c r="B1191" s="14" t="s">
        <v>2388</v>
      </c>
      <c r="C1191" s="13">
        <v>1</v>
      </c>
      <c r="D1191" s="7">
        <f>IFERROR(VLOOKUP(A1191,'1227-29耗量'!$A$1:$C$602,3,FALSE),0)</f>
        <v>0</v>
      </c>
      <c r="E1191" s="7">
        <f t="shared" si="36"/>
        <v>1</v>
      </c>
      <c r="F1191" s="7" t="str">
        <f t="shared" si="37"/>
        <v>無資料</v>
      </c>
      <c r="G1191" s="7" t="e">
        <f>VLOOKUP(A1191,Sheet5!$A$2:$D$415,4,FALSE)</f>
        <v>#N/A</v>
      </c>
      <c r="H1191" s="7" t="e">
        <f>VLOOKUP(A1191,Sheet5!$A$2:$D$415,3,FALSE)</f>
        <v>#N/A</v>
      </c>
      <c r="I1191" s="7" t="e">
        <f>VLOOKUP(A1191,'1201-29周均耗用'!$A$1:$C$602,3,FALSE)</f>
        <v>#N/A</v>
      </c>
    </row>
    <row r="1192" spans="1:9">
      <c r="A1192" s="13" t="s">
        <v>2389</v>
      </c>
      <c r="B1192" s="14" t="s">
        <v>2390</v>
      </c>
      <c r="C1192" s="13">
        <v>0</v>
      </c>
      <c r="D1192" s="7">
        <f>IFERROR(VLOOKUP(A1192,'1227-29耗量'!$A$1:$C$602,3,FALSE),0)</f>
        <v>0</v>
      </c>
      <c r="E1192" s="7">
        <f t="shared" si="36"/>
        <v>0</v>
      </c>
      <c r="F1192" s="7" t="str">
        <f t="shared" si="37"/>
        <v>無資料</v>
      </c>
      <c r="G1192" s="7" t="e">
        <f>VLOOKUP(A1192,Sheet5!$A$2:$D$415,4,FALSE)</f>
        <v>#N/A</v>
      </c>
      <c r="H1192" s="7" t="e">
        <f>VLOOKUP(A1192,Sheet5!$A$2:$D$415,3,FALSE)</f>
        <v>#N/A</v>
      </c>
      <c r="I1192" s="7" t="e">
        <f>VLOOKUP(A1192,'1201-29周均耗用'!$A$1:$C$602,3,FALSE)</f>
        <v>#N/A</v>
      </c>
    </row>
    <row r="1193" spans="1:9">
      <c r="A1193" s="13" t="s">
        <v>2391</v>
      </c>
      <c r="B1193" s="14" t="s">
        <v>2392</v>
      </c>
      <c r="C1193" s="13">
        <v>0</v>
      </c>
      <c r="D1193" s="7">
        <f>IFERROR(VLOOKUP(A1193,'1227-29耗量'!$A$1:$C$602,3,FALSE),0)</f>
        <v>0</v>
      </c>
      <c r="E1193" s="7">
        <f t="shared" si="36"/>
        <v>0</v>
      </c>
      <c r="F1193" s="7" t="str">
        <f t="shared" si="37"/>
        <v>無資料</v>
      </c>
      <c r="G1193" s="7" t="e">
        <f>VLOOKUP(A1193,Sheet5!$A$2:$D$415,4,FALSE)</f>
        <v>#N/A</v>
      </c>
      <c r="H1193" s="7" t="e">
        <f>VLOOKUP(A1193,Sheet5!$A$2:$D$415,3,FALSE)</f>
        <v>#N/A</v>
      </c>
      <c r="I1193" s="7" t="e">
        <f>VLOOKUP(A1193,'1201-29周均耗用'!$A$1:$C$602,3,FALSE)</f>
        <v>#N/A</v>
      </c>
    </row>
    <row r="1194" spans="1:9">
      <c r="A1194" s="13" t="s">
        <v>2393</v>
      </c>
      <c r="B1194" s="14" t="s">
        <v>2394</v>
      </c>
      <c r="C1194" s="13">
        <v>0</v>
      </c>
      <c r="D1194" s="7">
        <f>IFERROR(VLOOKUP(A1194,'1227-29耗量'!$A$1:$C$602,3,FALSE),0)</f>
        <v>0</v>
      </c>
      <c r="E1194" s="7">
        <f t="shared" si="36"/>
        <v>0</v>
      </c>
      <c r="F1194" s="7" t="str">
        <f t="shared" si="37"/>
        <v>無資料</v>
      </c>
      <c r="G1194" s="7" t="e">
        <f>VLOOKUP(A1194,Sheet5!$A$2:$D$415,4,FALSE)</f>
        <v>#N/A</v>
      </c>
      <c r="H1194" s="7" t="e">
        <f>VLOOKUP(A1194,Sheet5!$A$2:$D$415,3,FALSE)</f>
        <v>#N/A</v>
      </c>
      <c r="I1194" s="7" t="e">
        <f>VLOOKUP(A1194,'1201-29周均耗用'!$A$1:$C$602,3,FALSE)</f>
        <v>#N/A</v>
      </c>
    </row>
    <row r="1195" spans="1:9">
      <c r="A1195" s="13" t="s">
        <v>2395</v>
      </c>
      <c r="B1195" s="14" t="s">
        <v>2396</v>
      </c>
      <c r="C1195" s="13">
        <v>0</v>
      </c>
      <c r="D1195" s="7">
        <f>IFERROR(VLOOKUP(A1195,'1227-29耗量'!$A$1:$C$602,3,FALSE),0)</f>
        <v>0</v>
      </c>
      <c r="E1195" s="7">
        <f t="shared" si="36"/>
        <v>0</v>
      </c>
      <c r="F1195" s="7" t="str">
        <f t="shared" si="37"/>
        <v>無資料</v>
      </c>
      <c r="G1195" s="7" t="e">
        <f>VLOOKUP(A1195,Sheet5!$A$2:$D$415,4,FALSE)</f>
        <v>#N/A</v>
      </c>
      <c r="H1195" s="7" t="e">
        <f>VLOOKUP(A1195,Sheet5!$A$2:$D$415,3,FALSE)</f>
        <v>#N/A</v>
      </c>
      <c r="I1195" s="7" t="e">
        <f>VLOOKUP(A1195,'1201-29周均耗用'!$A$1:$C$602,3,FALSE)</f>
        <v>#N/A</v>
      </c>
    </row>
    <row r="1196" spans="1:9">
      <c r="A1196" s="13" t="s">
        <v>2397</v>
      </c>
      <c r="B1196" s="14" t="s">
        <v>2398</v>
      </c>
      <c r="C1196" s="13">
        <v>0</v>
      </c>
      <c r="D1196" s="7">
        <f>IFERROR(VLOOKUP(A1196,'1227-29耗量'!$A$1:$C$602,3,FALSE),0)</f>
        <v>0</v>
      </c>
      <c r="E1196" s="7">
        <f t="shared" si="36"/>
        <v>0</v>
      </c>
      <c r="F1196" s="7" t="str">
        <f t="shared" si="37"/>
        <v>無資料</v>
      </c>
      <c r="G1196" s="7" t="e">
        <f>VLOOKUP(A1196,Sheet5!$A$2:$D$415,4,FALSE)</f>
        <v>#N/A</v>
      </c>
      <c r="H1196" s="7" t="e">
        <f>VLOOKUP(A1196,Sheet5!$A$2:$D$415,3,FALSE)</f>
        <v>#N/A</v>
      </c>
      <c r="I1196" s="7" t="e">
        <f>VLOOKUP(A1196,'1201-29周均耗用'!$A$1:$C$602,3,FALSE)</f>
        <v>#N/A</v>
      </c>
    </row>
    <row r="1197" spans="1:9">
      <c r="A1197" s="13" t="s">
        <v>2399</v>
      </c>
      <c r="B1197" s="14" t="s">
        <v>2400</v>
      </c>
      <c r="C1197" s="13">
        <v>0</v>
      </c>
      <c r="D1197" s="7">
        <f>IFERROR(VLOOKUP(A1197,'1227-29耗量'!$A$1:$C$602,3,FALSE),0)</f>
        <v>0</v>
      </c>
      <c r="E1197" s="7">
        <f t="shared" si="36"/>
        <v>0</v>
      </c>
      <c r="F1197" s="7" t="str">
        <f t="shared" si="37"/>
        <v>無資料</v>
      </c>
      <c r="G1197" s="7" t="e">
        <f>VLOOKUP(A1197,Sheet5!$A$2:$D$415,4,FALSE)</f>
        <v>#N/A</v>
      </c>
      <c r="H1197" s="7" t="e">
        <f>VLOOKUP(A1197,Sheet5!$A$2:$D$415,3,FALSE)</f>
        <v>#N/A</v>
      </c>
      <c r="I1197" s="7" t="e">
        <f>VLOOKUP(A1197,'1201-29周均耗用'!$A$1:$C$602,3,FALSE)</f>
        <v>#N/A</v>
      </c>
    </row>
    <row r="1198" spans="1:9">
      <c r="A1198" s="13" t="s">
        <v>2401</v>
      </c>
      <c r="B1198" s="14" t="s">
        <v>2402</v>
      </c>
      <c r="C1198" s="13">
        <v>17</v>
      </c>
      <c r="D1198" s="7">
        <f>IFERROR(VLOOKUP(A1198,'1227-29耗量'!$A$1:$C$602,3,FALSE),0)</f>
        <v>0</v>
      </c>
      <c r="E1198" s="7">
        <f t="shared" si="36"/>
        <v>17</v>
      </c>
      <c r="F1198" s="7" t="str">
        <f t="shared" si="37"/>
        <v>無資料</v>
      </c>
      <c r="G1198" s="7" t="e">
        <f>VLOOKUP(A1198,Sheet5!$A$2:$D$415,4,FALSE)</f>
        <v>#N/A</v>
      </c>
      <c r="H1198" s="7" t="e">
        <f>VLOOKUP(A1198,Sheet5!$A$2:$D$415,3,FALSE)</f>
        <v>#N/A</v>
      </c>
      <c r="I1198" s="7" t="e">
        <f>VLOOKUP(A1198,'1201-29周均耗用'!$A$1:$C$602,3,FALSE)</f>
        <v>#N/A</v>
      </c>
    </row>
    <row r="1199" spans="1:9">
      <c r="A1199" s="13" t="s">
        <v>2403</v>
      </c>
      <c r="B1199" s="14" t="s">
        <v>2404</v>
      </c>
      <c r="C1199" s="13">
        <v>24</v>
      </c>
      <c r="D1199" s="7">
        <f>IFERROR(VLOOKUP(A1199,'1227-29耗量'!$A$1:$C$602,3,FALSE),0)</f>
        <v>0</v>
      </c>
      <c r="E1199" s="7">
        <f t="shared" si="36"/>
        <v>24</v>
      </c>
      <c r="F1199" s="7" t="str">
        <f t="shared" si="37"/>
        <v>無資料</v>
      </c>
      <c r="G1199" s="7" t="e">
        <f>VLOOKUP(A1199,Sheet5!$A$2:$D$415,4,FALSE)</f>
        <v>#N/A</v>
      </c>
      <c r="H1199" s="7" t="e">
        <f>VLOOKUP(A1199,Sheet5!$A$2:$D$415,3,FALSE)</f>
        <v>#N/A</v>
      </c>
      <c r="I1199" s="7" t="e">
        <f>VLOOKUP(A1199,'1201-29周均耗用'!$A$1:$C$602,3,FALSE)</f>
        <v>#N/A</v>
      </c>
    </row>
    <row r="1200" spans="1:9">
      <c r="A1200" s="13" t="s">
        <v>2405</v>
      </c>
      <c r="B1200" s="14" t="s">
        <v>2406</v>
      </c>
      <c r="C1200" s="13">
        <v>362</v>
      </c>
      <c r="D1200" s="7">
        <f>VLOOKUP(A1200,'1227-29耗量'!$A$1:$C$602,3,FALSE)</f>
        <v>28</v>
      </c>
      <c r="E1200" s="7">
        <f t="shared" si="36"/>
        <v>334</v>
      </c>
      <c r="F1200" s="7" t="str">
        <f t="shared" si="37"/>
        <v>錯誤</v>
      </c>
      <c r="G1200" s="7">
        <f>VLOOKUP(A1200,Sheet5!$A$2:$D$415,4,FALSE)</f>
        <v>203</v>
      </c>
      <c r="H1200" s="7">
        <f>VLOOKUP(A1200,Sheet5!$A$2:$D$415,3,FALSE)</f>
        <v>840</v>
      </c>
      <c r="I1200" s="7" t="e">
        <f>VLOOKUP(A1200,'1201-29周均耗用'!$A$1:$C$602,3,FALSE)</f>
        <v>#N/A</v>
      </c>
    </row>
    <row r="1201" spans="1:9">
      <c r="A1201" s="13" t="s">
        <v>2407</v>
      </c>
      <c r="B1201" s="14" t="s">
        <v>2408</v>
      </c>
      <c r="C1201" s="13">
        <v>64</v>
      </c>
      <c r="D1201" s="7">
        <f>IFERROR(VLOOKUP(A1201,'1227-29耗量'!$A$1:$C$602,3,FALSE),0)</f>
        <v>0</v>
      </c>
      <c r="E1201" s="7">
        <f t="shared" si="36"/>
        <v>64</v>
      </c>
      <c r="F1201" s="7" t="str">
        <f t="shared" si="37"/>
        <v>無資料</v>
      </c>
      <c r="G1201" s="7" t="e">
        <f>VLOOKUP(A1201,Sheet5!$A$2:$D$415,4,FALSE)</f>
        <v>#N/A</v>
      </c>
      <c r="H1201" s="7" t="e">
        <f>VLOOKUP(A1201,Sheet5!$A$2:$D$415,3,FALSE)</f>
        <v>#N/A</v>
      </c>
      <c r="I1201" s="7" t="e">
        <f>VLOOKUP(A1201,'1201-29周均耗用'!$A$1:$C$602,3,FALSE)</f>
        <v>#N/A</v>
      </c>
    </row>
    <row r="1202" spans="1:9">
      <c r="A1202" s="13" t="s">
        <v>2409</v>
      </c>
      <c r="B1202" s="14" t="s">
        <v>2410</v>
      </c>
      <c r="C1202" s="13">
        <v>0</v>
      </c>
      <c r="D1202" s="7">
        <f>IFERROR(VLOOKUP(A1202,'1227-29耗量'!$A$1:$C$602,3,FALSE),0)</f>
        <v>0</v>
      </c>
      <c r="E1202" s="7">
        <f t="shared" si="36"/>
        <v>0</v>
      </c>
      <c r="F1202" s="7" t="str">
        <f t="shared" si="37"/>
        <v>無資料</v>
      </c>
      <c r="G1202" s="7" t="e">
        <f>VLOOKUP(A1202,Sheet5!$A$2:$D$415,4,FALSE)</f>
        <v>#N/A</v>
      </c>
      <c r="H1202" s="7" t="e">
        <f>VLOOKUP(A1202,Sheet5!$A$2:$D$415,3,FALSE)</f>
        <v>#N/A</v>
      </c>
      <c r="I1202" s="7" t="e">
        <f>VLOOKUP(A1202,'1201-29周均耗用'!$A$1:$C$602,3,FALSE)</f>
        <v>#N/A</v>
      </c>
    </row>
    <row r="1203" spans="1:9">
      <c r="A1203" s="13" t="s">
        <v>2411</v>
      </c>
      <c r="B1203" s="14" t="s">
        <v>2412</v>
      </c>
      <c r="C1203" s="13">
        <v>60</v>
      </c>
      <c r="D1203" s="7">
        <f>VLOOKUP(A1203,'1227-29耗量'!$A$1:$C$602,3,FALSE)</f>
        <v>13</v>
      </c>
      <c r="E1203" s="7">
        <f t="shared" si="36"/>
        <v>47</v>
      </c>
      <c r="F1203" s="7" t="str">
        <f t="shared" si="37"/>
        <v>錯誤</v>
      </c>
      <c r="G1203" s="7">
        <f>VLOOKUP(A1203,Sheet5!$A$2:$D$415,4,FALSE)</f>
        <v>9</v>
      </c>
      <c r="H1203" s="7">
        <f>VLOOKUP(A1203,Sheet5!$A$2:$D$415,3,FALSE)</f>
        <v>60</v>
      </c>
      <c r="I1203" s="7">
        <f>VLOOKUP(A1203,'1201-29周均耗用'!$A$1:$C$602,3,FALSE)</f>
        <v>14.5</v>
      </c>
    </row>
    <row r="1204" spans="1:9">
      <c r="A1204" s="13" t="s">
        <v>2413</v>
      </c>
      <c r="B1204" s="14" t="s">
        <v>2414</v>
      </c>
      <c r="C1204" s="13">
        <v>293</v>
      </c>
      <c r="D1204" s="7">
        <f>IFERROR(VLOOKUP(A1204,'1227-29耗量'!$A$1:$C$602,3,FALSE),0)</f>
        <v>73</v>
      </c>
      <c r="E1204" s="7">
        <f t="shared" si="36"/>
        <v>220</v>
      </c>
      <c r="F1204" s="7" t="str">
        <f t="shared" si="37"/>
        <v>無資料</v>
      </c>
      <c r="G1204" s="7" t="e">
        <f>VLOOKUP(A1204,Sheet5!$A$2:$D$415,4,FALSE)</f>
        <v>#N/A</v>
      </c>
      <c r="H1204" s="7" t="e">
        <f>VLOOKUP(A1204,Sheet5!$A$2:$D$415,3,FALSE)</f>
        <v>#N/A</v>
      </c>
      <c r="I1204" s="7" t="e">
        <f>VLOOKUP(A1204,'1201-29周均耗用'!$A$1:$C$602,3,FALSE)</f>
        <v>#N/A</v>
      </c>
    </row>
    <row r="1205" spans="1:9">
      <c r="A1205" s="13" t="s">
        <v>2415</v>
      </c>
      <c r="B1205" s="14" t="s">
        <v>2416</v>
      </c>
      <c r="C1205" s="13">
        <v>153</v>
      </c>
      <c r="D1205" s="7">
        <f>IFERROR(VLOOKUP(A1205,'1227-29耗量'!$A$1:$C$602,3,FALSE),0)</f>
        <v>0</v>
      </c>
      <c r="E1205" s="7">
        <f t="shared" si="36"/>
        <v>153</v>
      </c>
      <c r="F1205" s="7" t="str">
        <f t="shared" si="37"/>
        <v>錯誤</v>
      </c>
      <c r="G1205" s="7">
        <f>VLOOKUP(A1205,Sheet5!$A$2:$D$415,4,FALSE)</f>
        <v>28</v>
      </c>
      <c r="H1205" s="7">
        <f>VLOOKUP(A1205,Sheet5!$A$2:$D$415,3,FALSE)</f>
        <v>100</v>
      </c>
      <c r="I1205" s="7">
        <f>VLOOKUP(A1205,'1201-29周均耗用'!$A$1:$C$602,3,FALSE)</f>
        <v>2.5</v>
      </c>
    </row>
    <row r="1206" spans="1:9">
      <c r="A1206" s="13" t="s">
        <v>2417</v>
      </c>
      <c r="B1206" s="14" t="s">
        <v>2418</v>
      </c>
      <c r="C1206" s="13">
        <v>128</v>
      </c>
      <c r="D1206" s="7">
        <f>VLOOKUP(A1206,'1227-29耗量'!$A$1:$C$602,3,FALSE)</f>
        <v>2</v>
      </c>
      <c r="E1206" s="7">
        <f t="shared" si="36"/>
        <v>126</v>
      </c>
      <c r="F1206" s="7" t="str">
        <f t="shared" si="37"/>
        <v>錯誤</v>
      </c>
      <c r="G1206" s="7">
        <f>VLOOKUP(A1206,Sheet5!$A$2:$D$415,4,FALSE)</f>
        <v>18</v>
      </c>
      <c r="H1206" s="7">
        <f>VLOOKUP(A1206,Sheet5!$A$2:$D$415,3,FALSE)</f>
        <v>140</v>
      </c>
      <c r="I1206" s="7" t="e">
        <f>VLOOKUP(A1206,'1201-29周均耗用'!$A$1:$C$602,3,FALSE)</f>
        <v>#N/A</v>
      </c>
    </row>
    <row r="1207" spans="1:9">
      <c r="A1207" s="13" t="s">
        <v>2419</v>
      </c>
      <c r="B1207" s="14" t="s">
        <v>2420</v>
      </c>
      <c r="C1207" s="13">
        <v>0</v>
      </c>
      <c r="D1207" s="7">
        <f>IFERROR(VLOOKUP(A1207,'1227-29耗量'!$A$1:$C$602,3,FALSE),0)</f>
        <v>0</v>
      </c>
      <c r="E1207" s="7">
        <f t="shared" si="36"/>
        <v>0</v>
      </c>
      <c r="F1207" s="7" t="str">
        <f t="shared" si="37"/>
        <v>無資料</v>
      </c>
      <c r="G1207" s="7" t="e">
        <f>VLOOKUP(A1207,Sheet5!$A$2:$D$415,4,FALSE)</f>
        <v>#N/A</v>
      </c>
      <c r="H1207" s="7" t="e">
        <f>VLOOKUP(A1207,Sheet5!$A$2:$D$415,3,FALSE)</f>
        <v>#N/A</v>
      </c>
      <c r="I1207" s="7" t="e">
        <f>VLOOKUP(A1207,'1201-29周均耗用'!$A$1:$C$602,3,FALSE)</f>
        <v>#N/A</v>
      </c>
    </row>
    <row r="1208" spans="1:9">
      <c r="A1208" s="13" t="s">
        <v>2421</v>
      </c>
      <c r="B1208" s="14" t="s">
        <v>2422</v>
      </c>
      <c r="C1208" s="13">
        <v>139</v>
      </c>
      <c r="D1208" s="7">
        <f>IFERROR(VLOOKUP(A1208,'1227-29耗量'!$A$1:$C$602,3,FALSE),0)</f>
        <v>2</v>
      </c>
      <c r="E1208" s="7">
        <f t="shared" si="36"/>
        <v>137</v>
      </c>
      <c r="F1208" s="7" t="str">
        <f t="shared" si="37"/>
        <v>無資料</v>
      </c>
      <c r="G1208" s="7" t="e">
        <f>VLOOKUP(A1208,Sheet5!$A$2:$D$415,4,FALSE)</f>
        <v>#N/A</v>
      </c>
      <c r="H1208" s="7" t="e">
        <f>VLOOKUP(A1208,Sheet5!$A$2:$D$415,3,FALSE)</f>
        <v>#N/A</v>
      </c>
      <c r="I1208" s="7">
        <f>VLOOKUP(A1208,'1201-29周均耗用'!$A$1:$C$602,3,FALSE)</f>
        <v>9.2</v>
      </c>
    </row>
    <row r="1209" spans="1:9">
      <c r="A1209" s="13" t="s">
        <v>2423</v>
      </c>
      <c r="B1209" s="14" t="s">
        <v>2424</v>
      </c>
      <c r="C1209" s="13">
        <v>809</v>
      </c>
      <c r="D1209" s="7">
        <f>IFERROR(VLOOKUP(A1209,'1227-29耗量'!$A$1:$C$602,3,FALSE),0)</f>
        <v>9</v>
      </c>
      <c r="E1209" s="7">
        <f t="shared" si="36"/>
        <v>800</v>
      </c>
      <c r="F1209" s="7" t="str">
        <f t="shared" si="37"/>
        <v>無資料</v>
      </c>
      <c r="G1209" s="7" t="e">
        <f>VLOOKUP(A1209,Sheet5!$A$2:$D$415,4,FALSE)</f>
        <v>#N/A</v>
      </c>
      <c r="H1209" s="7" t="e">
        <f>VLOOKUP(A1209,Sheet5!$A$2:$D$415,3,FALSE)</f>
        <v>#N/A</v>
      </c>
      <c r="I1209" s="7" t="e">
        <f>VLOOKUP(A1209,'1201-29周均耗用'!$A$1:$C$602,3,FALSE)</f>
        <v>#N/A</v>
      </c>
    </row>
    <row r="1210" spans="1:9">
      <c r="A1210" s="13" t="s">
        <v>2425</v>
      </c>
      <c r="B1210" s="14" t="s">
        <v>2426</v>
      </c>
      <c r="C1210" s="13">
        <v>1</v>
      </c>
      <c r="D1210" s="7">
        <f>IFERROR(VLOOKUP(A1210,'1227-29耗量'!$A$1:$C$602,3,FALSE),0)</f>
        <v>0</v>
      </c>
      <c r="E1210" s="7">
        <f t="shared" si="36"/>
        <v>1</v>
      </c>
      <c r="F1210" s="7" t="str">
        <f t="shared" si="37"/>
        <v>無資料</v>
      </c>
      <c r="G1210" s="7" t="e">
        <f>VLOOKUP(A1210,Sheet5!$A$2:$D$415,4,FALSE)</f>
        <v>#N/A</v>
      </c>
      <c r="H1210" s="7" t="e">
        <f>VLOOKUP(A1210,Sheet5!$A$2:$D$415,3,FALSE)</f>
        <v>#N/A</v>
      </c>
      <c r="I1210" s="7" t="e">
        <f>VLOOKUP(A1210,'1201-29周均耗用'!$A$1:$C$602,3,FALSE)</f>
        <v>#N/A</v>
      </c>
    </row>
    <row r="1211" spans="1:9">
      <c r="A1211" s="13" t="s">
        <v>2427</v>
      </c>
      <c r="B1211" s="14" t="s">
        <v>2428</v>
      </c>
      <c r="C1211" s="13">
        <v>4889</v>
      </c>
      <c r="D1211" s="7">
        <f>IFERROR(VLOOKUP(A1211,'1227-29耗量'!$A$1:$C$602,3,FALSE),0)</f>
        <v>394</v>
      </c>
      <c r="E1211" s="7">
        <f t="shared" si="36"/>
        <v>4495</v>
      </c>
      <c r="F1211" s="7" t="str">
        <f t="shared" si="37"/>
        <v>無資料</v>
      </c>
      <c r="G1211" s="7" t="e">
        <f>VLOOKUP(A1211,Sheet5!$A$2:$D$415,4,FALSE)</f>
        <v>#N/A</v>
      </c>
      <c r="H1211" s="7" t="e">
        <f>VLOOKUP(A1211,Sheet5!$A$2:$D$415,3,FALSE)</f>
        <v>#N/A</v>
      </c>
      <c r="I1211" s="7" t="e">
        <f>VLOOKUP(A1211,'1201-29周均耗用'!$A$1:$C$602,3,FALSE)</f>
        <v>#N/A</v>
      </c>
    </row>
    <row r="1212" spans="1:9">
      <c r="A1212" s="13" t="s">
        <v>2429</v>
      </c>
      <c r="B1212" s="14" t="s">
        <v>2430</v>
      </c>
      <c r="C1212" s="13">
        <v>1057</v>
      </c>
      <c r="D1212" s="7">
        <f>VLOOKUP(A1212,'1227-29耗量'!$A$1:$C$602,3,FALSE)</f>
        <v>45</v>
      </c>
      <c r="E1212" s="7">
        <f t="shared" si="36"/>
        <v>1012</v>
      </c>
      <c r="F1212" s="7" t="str">
        <f t="shared" si="37"/>
        <v>錯誤</v>
      </c>
      <c r="G1212" s="7">
        <f>VLOOKUP(A1212,Sheet5!$A$2:$D$415,4,FALSE)</f>
        <v>338</v>
      </c>
      <c r="H1212" s="7">
        <f>VLOOKUP(A1212,Sheet5!$A$2:$D$415,3,FALSE)</f>
        <v>500</v>
      </c>
      <c r="I1212" s="7" t="e">
        <f>VLOOKUP(A1212,'1201-29周均耗用'!$A$1:$C$602,3,FALSE)</f>
        <v>#N/A</v>
      </c>
    </row>
    <row r="1213" spans="1:9">
      <c r="A1213" s="13" t="s">
        <v>2431</v>
      </c>
      <c r="B1213" s="14" t="s">
        <v>2432</v>
      </c>
      <c r="C1213" s="13">
        <v>687</v>
      </c>
      <c r="D1213" s="7">
        <f>VLOOKUP(A1213,'1227-29耗量'!$A$1:$C$602,3,FALSE)</f>
        <v>12</v>
      </c>
      <c r="E1213" s="7">
        <f t="shared" si="36"/>
        <v>675</v>
      </c>
      <c r="F1213" s="7" t="str">
        <f t="shared" si="37"/>
        <v>錯誤</v>
      </c>
      <c r="G1213" s="7">
        <f>VLOOKUP(A1213,Sheet5!$A$2:$D$415,4,FALSE)</f>
        <v>74</v>
      </c>
      <c r="H1213" s="7">
        <f>VLOOKUP(A1213,Sheet5!$A$2:$D$415,3,FALSE)</f>
        <v>300</v>
      </c>
      <c r="I1213" s="7" t="e">
        <f>VLOOKUP(A1213,'1201-29周均耗用'!$A$1:$C$602,3,FALSE)</f>
        <v>#N/A</v>
      </c>
    </row>
    <row r="1214" spans="1:9">
      <c r="A1214" s="13" t="s">
        <v>2433</v>
      </c>
      <c r="B1214" s="14" t="s">
        <v>2434</v>
      </c>
      <c r="C1214" s="13">
        <v>0</v>
      </c>
      <c r="D1214" s="7">
        <f>IFERROR(VLOOKUP(A1214,'1227-29耗量'!$A$1:$C$602,3,FALSE),0)</f>
        <v>0</v>
      </c>
      <c r="E1214" s="7">
        <f t="shared" si="36"/>
        <v>0</v>
      </c>
      <c r="F1214" s="7" t="str">
        <f t="shared" si="37"/>
        <v>無資料</v>
      </c>
      <c r="G1214" s="7" t="e">
        <f>VLOOKUP(A1214,Sheet5!$A$2:$D$415,4,FALSE)</f>
        <v>#N/A</v>
      </c>
      <c r="H1214" s="7" t="e">
        <f>VLOOKUP(A1214,Sheet5!$A$2:$D$415,3,FALSE)</f>
        <v>#N/A</v>
      </c>
      <c r="I1214" s="7" t="e">
        <f>VLOOKUP(A1214,'1201-29周均耗用'!$A$1:$C$602,3,FALSE)</f>
        <v>#N/A</v>
      </c>
    </row>
    <row r="1215" spans="1:9">
      <c r="A1215" s="13" t="s">
        <v>2435</v>
      </c>
      <c r="B1215" s="14" t="s">
        <v>2436</v>
      </c>
      <c r="C1215" s="13">
        <v>0</v>
      </c>
      <c r="D1215" s="7">
        <f>IFERROR(VLOOKUP(A1215,'1227-29耗量'!$A$1:$C$602,3,FALSE),0)</f>
        <v>0</v>
      </c>
      <c r="E1215" s="7">
        <f t="shared" si="36"/>
        <v>0</v>
      </c>
      <c r="F1215" s="7" t="str">
        <f t="shared" si="37"/>
        <v>無資料</v>
      </c>
      <c r="G1215" s="7" t="e">
        <f>VLOOKUP(A1215,Sheet5!$A$2:$D$415,4,FALSE)</f>
        <v>#N/A</v>
      </c>
      <c r="H1215" s="7" t="e">
        <f>VLOOKUP(A1215,Sheet5!$A$2:$D$415,3,FALSE)</f>
        <v>#N/A</v>
      </c>
      <c r="I1215" s="7" t="e">
        <f>VLOOKUP(A1215,'1201-29周均耗用'!$A$1:$C$602,3,FALSE)</f>
        <v>#N/A</v>
      </c>
    </row>
    <row r="1216" spans="1:9">
      <c r="A1216" s="13" t="s">
        <v>2437</v>
      </c>
      <c r="B1216" s="14" t="s">
        <v>2438</v>
      </c>
      <c r="C1216" s="13">
        <v>1614</v>
      </c>
      <c r="D1216" s="7">
        <f>IFERROR(VLOOKUP(A1216,'1227-29耗量'!$A$1:$C$602,3,FALSE),0)</f>
        <v>0</v>
      </c>
      <c r="E1216" s="7">
        <f t="shared" si="36"/>
        <v>1614</v>
      </c>
      <c r="F1216" s="7" t="str">
        <f t="shared" si="37"/>
        <v>錯誤</v>
      </c>
      <c r="G1216" s="7">
        <f>VLOOKUP(A1216,Sheet5!$A$2:$D$415,4,FALSE)</f>
        <v>808</v>
      </c>
      <c r="H1216" s="7">
        <f>VLOOKUP(A1216,Sheet5!$A$2:$D$415,3,FALSE)</f>
        <v>1600</v>
      </c>
      <c r="I1216" s="7">
        <f>VLOOKUP(A1216,'1201-29周均耗用'!$A$1:$C$602,3,FALSE)</f>
        <v>0.2</v>
      </c>
    </row>
    <row r="1217" spans="1:9">
      <c r="A1217" s="13" t="s">
        <v>2439</v>
      </c>
      <c r="B1217" s="14" t="s">
        <v>2440</v>
      </c>
      <c r="C1217" s="13">
        <v>393</v>
      </c>
      <c r="D1217" s="7">
        <f>VLOOKUP(A1217,'1227-29耗量'!$A$1:$C$602,3,FALSE)</f>
        <v>33</v>
      </c>
      <c r="E1217" s="7">
        <f t="shared" si="36"/>
        <v>360</v>
      </c>
      <c r="F1217" s="7" t="str">
        <f t="shared" si="37"/>
        <v>錯誤</v>
      </c>
      <c r="G1217" s="7">
        <f>VLOOKUP(A1217,Sheet5!$A$2:$D$415,4,FALSE)</f>
        <v>279</v>
      </c>
      <c r="H1217" s="7">
        <f>VLOOKUP(A1217,Sheet5!$A$2:$D$415,3,FALSE)</f>
        <v>560</v>
      </c>
      <c r="I1217" s="7" t="e">
        <f>VLOOKUP(A1217,'1201-29周均耗用'!$A$1:$C$602,3,FALSE)</f>
        <v>#N/A</v>
      </c>
    </row>
    <row r="1218" spans="1:9">
      <c r="A1218" s="13" t="s">
        <v>2441</v>
      </c>
      <c r="B1218" s="14" t="s">
        <v>2442</v>
      </c>
      <c r="C1218" s="13">
        <v>34</v>
      </c>
      <c r="D1218" s="7">
        <f>IFERROR(VLOOKUP(A1218,'1227-29耗量'!$A$1:$C$602,3,FALSE),0)</f>
        <v>4</v>
      </c>
      <c r="E1218" s="7">
        <f t="shared" si="36"/>
        <v>30</v>
      </c>
      <c r="F1218" s="7" t="str">
        <f t="shared" si="37"/>
        <v>無資料</v>
      </c>
      <c r="G1218" s="7" t="e">
        <f>VLOOKUP(A1218,Sheet5!$A$2:$D$415,4,FALSE)</f>
        <v>#N/A</v>
      </c>
      <c r="H1218" s="7" t="e">
        <f>VLOOKUP(A1218,Sheet5!$A$2:$D$415,3,FALSE)</f>
        <v>#N/A</v>
      </c>
      <c r="I1218" s="7" t="e">
        <f>VLOOKUP(A1218,'1201-29周均耗用'!$A$1:$C$602,3,FALSE)</f>
        <v>#N/A</v>
      </c>
    </row>
    <row r="1219" spans="1:9">
      <c r="A1219" s="13" t="s">
        <v>2443</v>
      </c>
      <c r="B1219" s="14" t="s">
        <v>2444</v>
      </c>
      <c r="C1219" s="13">
        <v>0</v>
      </c>
      <c r="D1219" s="7">
        <f>IFERROR(VLOOKUP(A1219,'1227-29耗量'!$A$1:$C$602,3,FALSE),0)</f>
        <v>0</v>
      </c>
      <c r="E1219" s="7">
        <f t="shared" ref="E1219:E1282" si="38">C1219-D1219</f>
        <v>0</v>
      </c>
      <c r="F1219" s="7" t="str">
        <f t="shared" ref="F1219:F1282" si="39">IFERROR(IF(E1219=G1219,"OK","錯誤"),"無資料")</f>
        <v>無資料</v>
      </c>
      <c r="G1219" s="7" t="e">
        <f>VLOOKUP(A1219,Sheet5!$A$2:$D$415,4,FALSE)</f>
        <v>#N/A</v>
      </c>
      <c r="H1219" s="7" t="e">
        <f>VLOOKUP(A1219,Sheet5!$A$2:$D$415,3,FALSE)</f>
        <v>#N/A</v>
      </c>
      <c r="I1219" s="7" t="e">
        <f>VLOOKUP(A1219,'1201-29周均耗用'!$A$1:$C$602,3,FALSE)</f>
        <v>#N/A</v>
      </c>
    </row>
    <row r="1220" spans="1:9">
      <c r="A1220" s="13" t="s">
        <v>2445</v>
      </c>
      <c r="B1220" s="14" t="s">
        <v>2446</v>
      </c>
      <c r="C1220" s="13">
        <v>104</v>
      </c>
      <c r="D1220" s="7">
        <f>VLOOKUP(A1220,'1227-29耗量'!$A$1:$C$602,3,FALSE)</f>
        <v>5</v>
      </c>
      <c r="E1220" s="7">
        <f t="shared" si="38"/>
        <v>99</v>
      </c>
      <c r="F1220" s="7" t="str">
        <f t="shared" si="39"/>
        <v>錯誤</v>
      </c>
      <c r="G1220" s="7">
        <f>VLOOKUP(A1220,Sheet5!$A$2:$D$415,4,FALSE)</f>
        <v>91</v>
      </c>
      <c r="H1220" s="7">
        <f>VLOOKUP(A1220,Sheet5!$A$2:$D$415,3,FALSE)</f>
        <v>100</v>
      </c>
      <c r="I1220" s="7">
        <f>VLOOKUP(A1220,'1201-29周均耗用'!$A$1:$C$602,3,FALSE)</f>
        <v>33.5</v>
      </c>
    </row>
    <row r="1221" spans="1:9">
      <c r="A1221" s="13" t="s">
        <v>2447</v>
      </c>
      <c r="B1221" s="14" t="s">
        <v>2448</v>
      </c>
      <c r="C1221" s="13">
        <v>184</v>
      </c>
      <c r="D1221" s="7">
        <f>VLOOKUP(A1221,'1227-29耗量'!$A$1:$C$602,3,FALSE)</f>
        <v>40</v>
      </c>
      <c r="E1221" s="7">
        <f t="shared" si="38"/>
        <v>144</v>
      </c>
      <c r="F1221" s="7" t="str">
        <f t="shared" si="39"/>
        <v>錯誤</v>
      </c>
      <c r="G1221" s="7">
        <f>VLOOKUP(A1221,Sheet5!$A$2:$D$415,4,FALSE)</f>
        <v>106</v>
      </c>
      <c r="H1221" s="7">
        <f>VLOOKUP(A1221,Sheet5!$A$2:$D$415,3,FALSE)</f>
        <v>160</v>
      </c>
      <c r="I1221" s="7" t="e">
        <f>VLOOKUP(A1221,'1201-29周均耗用'!$A$1:$C$602,3,FALSE)</f>
        <v>#N/A</v>
      </c>
    </row>
    <row r="1222" spans="1:9">
      <c r="A1222" s="13" t="s">
        <v>2449</v>
      </c>
      <c r="B1222" s="14" t="s">
        <v>2450</v>
      </c>
      <c r="C1222" s="13">
        <v>0</v>
      </c>
      <c r="D1222" s="7">
        <f>IFERROR(VLOOKUP(A1222,'1227-29耗量'!$A$1:$C$602,3,FALSE),0)</f>
        <v>0</v>
      </c>
      <c r="E1222" s="7">
        <f t="shared" si="38"/>
        <v>0</v>
      </c>
      <c r="F1222" s="7" t="str">
        <f t="shared" si="39"/>
        <v>無資料</v>
      </c>
      <c r="G1222" s="7" t="e">
        <f>VLOOKUP(A1222,Sheet5!$A$2:$D$415,4,FALSE)</f>
        <v>#N/A</v>
      </c>
      <c r="H1222" s="7" t="e">
        <f>VLOOKUP(A1222,Sheet5!$A$2:$D$415,3,FALSE)</f>
        <v>#N/A</v>
      </c>
      <c r="I1222" s="7" t="e">
        <f>VLOOKUP(A1222,'1201-29周均耗用'!$A$1:$C$602,3,FALSE)</f>
        <v>#N/A</v>
      </c>
    </row>
    <row r="1223" spans="1:9">
      <c r="A1223" s="13" t="s">
        <v>2451</v>
      </c>
      <c r="B1223" s="14" t="s">
        <v>2452</v>
      </c>
      <c r="C1223" s="13">
        <v>0</v>
      </c>
      <c r="D1223" s="7">
        <f>IFERROR(VLOOKUP(A1223,'1227-29耗量'!$A$1:$C$602,3,FALSE),0)</f>
        <v>0</v>
      </c>
      <c r="E1223" s="7">
        <f t="shared" si="38"/>
        <v>0</v>
      </c>
      <c r="F1223" s="7" t="str">
        <f t="shared" si="39"/>
        <v>無資料</v>
      </c>
      <c r="G1223" s="7" t="e">
        <f>VLOOKUP(A1223,Sheet5!$A$2:$D$415,4,FALSE)</f>
        <v>#N/A</v>
      </c>
      <c r="H1223" s="7" t="e">
        <f>VLOOKUP(A1223,Sheet5!$A$2:$D$415,3,FALSE)</f>
        <v>#N/A</v>
      </c>
      <c r="I1223" s="7" t="e">
        <f>VLOOKUP(A1223,'1201-29周均耗用'!$A$1:$C$602,3,FALSE)</f>
        <v>#N/A</v>
      </c>
    </row>
    <row r="1224" spans="1:9">
      <c r="A1224" s="13" t="s">
        <v>2453</v>
      </c>
      <c r="B1224" s="14" t="s">
        <v>2454</v>
      </c>
      <c r="C1224" s="13">
        <v>0</v>
      </c>
      <c r="D1224" s="7">
        <f>IFERROR(VLOOKUP(A1224,'1227-29耗量'!$A$1:$C$602,3,FALSE),0)</f>
        <v>0</v>
      </c>
      <c r="E1224" s="7">
        <f t="shared" si="38"/>
        <v>0</v>
      </c>
      <c r="F1224" s="7" t="str">
        <f t="shared" si="39"/>
        <v>無資料</v>
      </c>
      <c r="G1224" s="7" t="e">
        <f>VLOOKUP(A1224,Sheet5!$A$2:$D$415,4,FALSE)</f>
        <v>#N/A</v>
      </c>
      <c r="H1224" s="7" t="e">
        <f>VLOOKUP(A1224,Sheet5!$A$2:$D$415,3,FALSE)</f>
        <v>#N/A</v>
      </c>
      <c r="I1224" s="7" t="e">
        <f>VLOOKUP(A1224,'1201-29周均耗用'!$A$1:$C$602,3,FALSE)</f>
        <v>#N/A</v>
      </c>
    </row>
    <row r="1225" spans="1:9">
      <c r="A1225" s="13" t="s">
        <v>2455</v>
      </c>
      <c r="B1225" s="14" t="s">
        <v>2456</v>
      </c>
      <c r="C1225" s="13">
        <v>0</v>
      </c>
      <c r="D1225" s="7">
        <f>IFERROR(VLOOKUP(A1225,'1227-29耗量'!$A$1:$C$602,3,FALSE),0)</f>
        <v>0</v>
      </c>
      <c r="E1225" s="7">
        <f t="shared" si="38"/>
        <v>0</v>
      </c>
      <c r="F1225" s="7" t="str">
        <f t="shared" si="39"/>
        <v>無資料</v>
      </c>
      <c r="G1225" s="7" t="e">
        <f>VLOOKUP(A1225,Sheet5!$A$2:$D$415,4,FALSE)</f>
        <v>#N/A</v>
      </c>
      <c r="H1225" s="7" t="e">
        <f>VLOOKUP(A1225,Sheet5!$A$2:$D$415,3,FALSE)</f>
        <v>#N/A</v>
      </c>
      <c r="I1225" s="7" t="e">
        <f>VLOOKUP(A1225,'1201-29周均耗用'!$A$1:$C$602,3,FALSE)</f>
        <v>#N/A</v>
      </c>
    </row>
    <row r="1226" spans="1:9">
      <c r="A1226" s="13" t="s">
        <v>2457</v>
      </c>
      <c r="B1226" s="14" t="s">
        <v>2458</v>
      </c>
      <c r="C1226" s="13">
        <v>0</v>
      </c>
      <c r="D1226" s="7">
        <f>IFERROR(VLOOKUP(A1226,'1227-29耗量'!$A$1:$C$602,3,FALSE),0)</f>
        <v>0</v>
      </c>
      <c r="E1226" s="7">
        <f t="shared" si="38"/>
        <v>0</v>
      </c>
      <c r="F1226" s="7" t="str">
        <f t="shared" si="39"/>
        <v>無資料</v>
      </c>
      <c r="G1226" s="7" t="e">
        <f>VLOOKUP(A1226,Sheet5!$A$2:$D$415,4,FALSE)</f>
        <v>#N/A</v>
      </c>
      <c r="H1226" s="7" t="e">
        <f>VLOOKUP(A1226,Sheet5!$A$2:$D$415,3,FALSE)</f>
        <v>#N/A</v>
      </c>
      <c r="I1226" s="7" t="e">
        <f>VLOOKUP(A1226,'1201-29周均耗用'!$A$1:$C$602,3,FALSE)</f>
        <v>#N/A</v>
      </c>
    </row>
    <row r="1227" spans="1:9">
      <c r="A1227" s="13" t="s">
        <v>2459</v>
      </c>
      <c r="B1227" s="14" t="s">
        <v>2460</v>
      </c>
      <c r="C1227" s="13">
        <v>0</v>
      </c>
      <c r="D1227" s="7">
        <f>IFERROR(VLOOKUP(A1227,'1227-29耗量'!$A$1:$C$602,3,FALSE),0)</f>
        <v>0</v>
      </c>
      <c r="E1227" s="7">
        <f t="shared" si="38"/>
        <v>0</v>
      </c>
      <c r="F1227" s="7" t="str">
        <f t="shared" si="39"/>
        <v>無資料</v>
      </c>
      <c r="G1227" s="7" t="e">
        <f>VLOOKUP(A1227,Sheet5!$A$2:$D$415,4,FALSE)</f>
        <v>#N/A</v>
      </c>
      <c r="H1227" s="7" t="e">
        <f>VLOOKUP(A1227,Sheet5!$A$2:$D$415,3,FALSE)</f>
        <v>#N/A</v>
      </c>
      <c r="I1227" s="7" t="e">
        <f>VLOOKUP(A1227,'1201-29周均耗用'!$A$1:$C$602,3,FALSE)</f>
        <v>#N/A</v>
      </c>
    </row>
    <row r="1228" spans="1:9">
      <c r="A1228" s="13" t="s">
        <v>2461</v>
      </c>
      <c r="B1228" s="14" t="s">
        <v>2462</v>
      </c>
      <c r="C1228" s="13">
        <v>0</v>
      </c>
      <c r="D1228" s="7">
        <f>IFERROR(VLOOKUP(A1228,'1227-29耗量'!$A$1:$C$602,3,FALSE),0)</f>
        <v>0</v>
      </c>
      <c r="E1228" s="7">
        <f t="shared" si="38"/>
        <v>0</v>
      </c>
      <c r="F1228" s="7" t="str">
        <f t="shared" si="39"/>
        <v>無資料</v>
      </c>
      <c r="G1228" s="7" t="e">
        <f>VLOOKUP(A1228,Sheet5!$A$2:$D$415,4,FALSE)</f>
        <v>#N/A</v>
      </c>
      <c r="H1228" s="7" t="e">
        <f>VLOOKUP(A1228,Sheet5!$A$2:$D$415,3,FALSE)</f>
        <v>#N/A</v>
      </c>
      <c r="I1228" s="7" t="e">
        <f>VLOOKUP(A1228,'1201-29周均耗用'!$A$1:$C$602,3,FALSE)</f>
        <v>#N/A</v>
      </c>
    </row>
    <row r="1229" spans="1:9">
      <c r="A1229" s="13" t="s">
        <v>2463</v>
      </c>
      <c r="B1229" s="14" t="s">
        <v>2464</v>
      </c>
      <c r="C1229" s="13">
        <v>816</v>
      </c>
      <c r="D1229" s="7">
        <f>IFERROR(VLOOKUP(A1229,'1227-29耗量'!$A$1:$C$602,3,FALSE),0)</f>
        <v>3</v>
      </c>
      <c r="E1229" s="7">
        <f t="shared" si="38"/>
        <v>813</v>
      </c>
      <c r="F1229" s="7" t="str">
        <f t="shared" si="39"/>
        <v>無資料</v>
      </c>
      <c r="G1229" s="7" t="e">
        <f>VLOOKUP(A1229,Sheet5!$A$2:$D$415,4,FALSE)</f>
        <v>#N/A</v>
      </c>
      <c r="H1229" s="7" t="e">
        <f>VLOOKUP(A1229,Sheet5!$A$2:$D$415,3,FALSE)</f>
        <v>#N/A</v>
      </c>
      <c r="I1229" s="7" t="e">
        <f>VLOOKUP(A1229,'1201-29周均耗用'!$A$1:$C$602,3,FALSE)</f>
        <v>#N/A</v>
      </c>
    </row>
    <row r="1230" spans="1:9">
      <c r="A1230" s="13" t="s">
        <v>2465</v>
      </c>
      <c r="B1230" s="14" t="s">
        <v>2466</v>
      </c>
      <c r="C1230" s="13">
        <v>0</v>
      </c>
      <c r="D1230" s="7">
        <f>IFERROR(VLOOKUP(A1230,'1227-29耗量'!$A$1:$C$602,3,FALSE),0)</f>
        <v>0</v>
      </c>
      <c r="E1230" s="7">
        <f t="shared" si="38"/>
        <v>0</v>
      </c>
      <c r="F1230" s="7" t="str">
        <f t="shared" si="39"/>
        <v>無資料</v>
      </c>
      <c r="G1230" s="7" t="e">
        <f>VLOOKUP(A1230,Sheet5!$A$2:$D$415,4,FALSE)</f>
        <v>#N/A</v>
      </c>
      <c r="H1230" s="7" t="e">
        <f>VLOOKUP(A1230,Sheet5!$A$2:$D$415,3,FALSE)</f>
        <v>#N/A</v>
      </c>
      <c r="I1230" s="7" t="e">
        <f>VLOOKUP(A1230,'1201-29周均耗用'!$A$1:$C$602,3,FALSE)</f>
        <v>#N/A</v>
      </c>
    </row>
    <row r="1231" spans="1:9">
      <c r="A1231" s="13" t="s">
        <v>2467</v>
      </c>
      <c r="B1231" s="14" t="s">
        <v>2468</v>
      </c>
      <c r="C1231" s="13">
        <v>327</v>
      </c>
      <c r="D1231" s="7">
        <f>VLOOKUP(A1231,'1227-29耗量'!$A$1:$C$602,3,FALSE)</f>
        <v>48</v>
      </c>
      <c r="E1231" s="7">
        <f t="shared" si="38"/>
        <v>279</v>
      </c>
      <c r="F1231" s="7" t="str">
        <f t="shared" si="39"/>
        <v>錯誤</v>
      </c>
      <c r="G1231" s="7">
        <f>VLOOKUP(A1231,Sheet5!$A$2:$D$415,4,FALSE)</f>
        <v>150</v>
      </c>
      <c r="H1231" s="7">
        <f>VLOOKUP(A1231,Sheet5!$A$2:$D$415,3,FALSE)</f>
        <v>360</v>
      </c>
      <c r="I1231" s="7" t="e">
        <f>VLOOKUP(A1231,'1201-29周均耗用'!$A$1:$C$602,3,FALSE)</f>
        <v>#N/A</v>
      </c>
    </row>
    <row r="1232" spans="1:9">
      <c r="A1232" s="13" t="s">
        <v>2469</v>
      </c>
      <c r="B1232" s="14" t="s">
        <v>2470</v>
      </c>
      <c r="C1232" s="13">
        <v>0</v>
      </c>
      <c r="D1232" s="7">
        <f>IFERROR(VLOOKUP(A1232,'1227-29耗量'!$A$1:$C$602,3,FALSE),0)</f>
        <v>0</v>
      </c>
      <c r="E1232" s="7">
        <f t="shared" si="38"/>
        <v>0</v>
      </c>
      <c r="F1232" s="7" t="str">
        <f t="shared" si="39"/>
        <v>無資料</v>
      </c>
      <c r="G1232" s="7" t="e">
        <f>VLOOKUP(A1232,Sheet5!$A$2:$D$415,4,FALSE)</f>
        <v>#N/A</v>
      </c>
      <c r="H1232" s="7" t="e">
        <f>VLOOKUP(A1232,Sheet5!$A$2:$D$415,3,FALSE)</f>
        <v>#N/A</v>
      </c>
      <c r="I1232" s="7" t="e">
        <f>VLOOKUP(A1232,'1201-29周均耗用'!$A$1:$C$602,3,FALSE)</f>
        <v>#N/A</v>
      </c>
    </row>
    <row r="1233" spans="1:9">
      <c r="A1233" s="13" t="s">
        <v>2471</v>
      </c>
      <c r="B1233" s="14" t="s">
        <v>2472</v>
      </c>
      <c r="C1233" s="13">
        <v>0</v>
      </c>
      <c r="D1233" s="7">
        <f>IFERROR(VLOOKUP(A1233,'1227-29耗量'!$A$1:$C$602,3,FALSE),0)</f>
        <v>0</v>
      </c>
      <c r="E1233" s="7">
        <f t="shared" si="38"/>
        <v>0</v>
      </c>
      <c r="F1233" s="7" t="str">
        <f t="shared" si="39"/>
        <v>無資料</v>
      </c>
      <c r="G1233" s="7" t="e">
        <f>VLOOKUP(A1233,Sheet5!$A$2:$D$415,4,FALSE)</f>
        <v>#N/A</v>
      </c>
      <c r="H1233" s="7" t="e">
        <f>VLOOKUP(A1233,Sheet5!$A$2:$D$415,3,FALSE)</f>
        <v>#N/A</v>
      </c>
      <c r="I1233" s="7" t="e">
        <f>VLOOKUP(A1233,'1201-29周均耗用'!$A$1:$C$602,3,FALSE)</f>
        <v>#N/A</v>
      </c>
    </row>
    <row r="1234" spans="1:9">
      <c r="A1234" s="13" t="s">
        <v>2473</v>
      </c>
      <c r="B1234" s="14" t="s">
        <v>2474</v>
      </c>
      <c r="C1234" s="13">
        <v>0</v>
      </c>
      <c r="D1234" s="7">
        <f>IFERROR(VLOOKUP(A1234,'1227-29耗量'!$A$1:$C$602,3,FALSE),0)</f>
        <v>0</v>
      </c>
      <c r="E1234" s="7">
        <f t="shared" si="38"/>
        <v>0</v>
      </c>
      <c r="F1234" s="7" t="str">
        <f t="shared" si="39"/>
        <v>無資料</v>
      </c>
      <c r="G1234" s="7" t="e">
        <f>VLOOKUP(A1234,Sheet5!$A$2:$D$415,4,FALSE)</f>
        <v>#N/A</v>
      </c>
      <c r="H1234" s="7" t="e">
        <f>VLOOKUP(A1234,Sheet5!$A$2:$D$415,3,FALSE)</f>
        <v>#N/A</v>
      </c>
      <c r="I1234" s="7" t="e">
        <f>VLOOKUP(A1234,'1201-29周均耗用'!$A$1:$C$602,3,FALSE)</f>
        <v>#N/A</v>
      </c>
    </row>
    <row r="1235" spans="1:9">
      <c r="A1235" s="13" t="s">
        <v>2475</v>
      </c>
      <c r="B1235" s="14" t="s">
        <v>2476</v>
      </c>
      <c r="C1235" s="13">
        <v>66</v>
      </c>
      <c r="D1235" s="7">
        <f>IFERROR(VLOOKUP(A1235,'1227-29耗量'!$A$1:$C$602,3,FALSE),0)</f>
        <v>2</v>
      </c>
      <c r="E1235" s="7">
        <f t="shared" si="38"/>
        <v>64</v>
      </c>
      <c r="F1235" s="7" t="str">
        <f t="shared" si="39"/>
        <v>無資料</v>
      </c>
      <c r="G1235" s="7" t="e">
        <f>VLOOKUP(A1235,Sheet5!$A$2:$D$415,4,FALSE)</f>
        <v>#N/A</v>
      </c>
      <c r="H1235" s="7" t="e">
        <f>VLOOKUP(A1235,Sheet5!$A$2:$D$415,3,FALSE)</f>
        <v>#N/A</v>
      </c>
      <c r="I1235" s="7" t="e">
        <f>VLOOKUP(A1235,'1201-29周均耗用'!$A$1:$C$602,3,FALSE)</f>
        <v>#N/A</v>
      </c>
    </row>
    <row r="1236" spans="1:9">
      <c r="A1236" s="13" t="s">
        <v>2477</v>
      </c>
      <c r="B1236" s="14" t="s">
        <v>2478</v>
      </c>
      <c r="C1236" s="13">
        <v>0</v>
      </c>
      <c r="D1236" s="7">
        <f>VLOOKUP(A1236,'1227-29耗量'!$A$1:$C$602,3,FALSE)</f>
        <v>56</v>
      </c>
      <c r="E1236" s="7">
        <f t="shared" si="38"/>
        <v>-56</v>
      </c>
      <c r="F1236" s="7" t="str">
        <f t="shared" si="39"/>
        <v>錯誤</v>
      </c>
      <c r="G1236" s="7">
        <f>VLOOKUP(A1236,Sheet5!$A$2:$D$415,4,FALSE)</f>
        <v>0</v>
      </c>
      <c r="H1236" s="7">
        <f>VLOOKUP(A1236,Sheet5!$A$2:$D$415,3,FALSE)</f>
        <v>56</v>
      </c>
      <c r="I1236" s="7" t="e">
        <f>VLOOKUP(A1236,'1201-29周均耗用'!$A$1:$C$602,3,FALSE)</f>
        <v>#N/A</v>
      </c>
    </row>
    <row r="1237" spans="1:9">
      <c r="A1237" s="13" t="s">
        <v>2479</v>
      </c>
      <c r="B1237" s="14" t="s">
        <v>2480</v>
      </c>
      <c r="C1237" s="13">
        <v>0</v>
      </c>
      <c r="D1237" s="7">
        <f>IFERROR(VLOOKUP(A1237,'1227-29耗量'!$A$1:$C$602,3,FALSE),0)</f>
        <v>0</v>
      </c>
      <c r="E1237" s="7">
        <f t="shared" si="38"/>
        <v>0</v>
      </c>
      <c r="F1237" s="7" t="str">
        <f t="shared" si="39"/>
        <v>無資料</v>
      </c>
      <c r="G1237" s="7" t="e">
        <f>VLOOKUP(A1237,Sheet5!$A$2:$D$415,4,FALSE)</f>
        <v>#N/A</v>
      </c>
      <c r="H1237" s="7" t="e">
        <f>VLOOKUP(A1237,Sheet5!$A$2:$D$415,3,FALSE)</f>
        <v>#N/A</v>
      </c>
      <c r="I1237" s="7" t="e">
        <f>VLOOKUP(A1237,'1201-29周均耗用'!$A$1:$C$602,3,FALSE)</f>
        <v>#N/A</v>
      </c>
    </row>
    <row r="1238" spans="1:9">
      <c r="A1238" s="13" t="s">
        <v>2481</v>
      </c>
      <c r="B1238" s="14" t="s">
        <v>2482</v>
      </c>
      <c r="C1238" s="13">
        <v>3</v>
      </c>
      <c r="D1238" s="7">
        <f>IFERROR(VLOOKUP(A1238,'1227-29耗量'!$A$1:$C$602,3,FALSE),0)</f>
        <v>0</v>
      </c>
      <c r="E1238" s="7">
        <f t="shared" si="38"/>
        <v>3</v>
      </c>
      <c r="F1238" s="7" t="str">
        <f t="shared" si="39"/>
        <v>無資料</v>
      </c>
      <c r="G1238" s="7" t="e">
        <f>VLOOKUP(A1238,Sheet5!$A$2:$D$415,4,FALSE)</f>
        <v>#N/A</v>
      </c>
      <c r="H1238" s="7" t="e">
        <f>VLOOKUP(A1238,Sheet5!$A$2:$D$415,3,FALSE)</f>
        <v>#N/A</v>
      </c>
      <c r="I1238" s="7" t="e">
        <f>VLOOKUP(A1238,'1201-29周均耗用'!$A$1:$C$602,3,FALSE)</f>
        <v>#N/A</v>
      </c>
    </row>
    <row r="1239" spans="1:9">
      <c r="A1239" s="13" t="s">
        <v>2483</v>
      </c>
      <c r="B1239" s="14" t="s">
        <v>2484</v>
      </c>
      <c r="C1239" s="13">
        <v>0</v>
      </c>
      <c r="D1239" s="7">
        <f>IFERROR(VLOOKUP(A1239,'1227-29耗量'!$A$1:$C$602,3,FALSE),0)</f>
        <v>0</v>
      </c>
      <c r="E1239" s="7">
        <f t="shared" si="38"/>
        <v>0</v>
      </c>
      <c r="F1239" s="7" t="str">
        <f t="shared" si="39"/>
        <v>無資料</v>
      </c>
      <c r="G1239" s="7" t="e">
        <f>VLOOKUP(A1239,Sheet5!$A$2:$D$415,4,FALSE)</f>
        <v>#N/A</v>
      </c>
      <c r="H1239" s="7" t="e">
        <f>VLOOKUP(A1239,Sheet5!$A$2:$D$415,3,FALSE)</f>
        <v>#N/A</v>
      </c>
      <c r="I1239" s="7" t="e">
        <f>VLOOKUP(A1239,'1201-29周均耗用'!$A$1:$C$602,3,FALSE)</f>
        <v>#N/A</v>
      </c>
    </row>
    <row r="1240" spans="1:9">
      <c r="A1240" s="13" t="s">
        <v>2485</v>
      </c>
      <c r="B1240" s="14" t="s">
        <v>2486</v>
      </c>
      <c r="C1240" s="13">
        <v>153</v>
      </c>
      <c r="D1240" s="7">
        <f>IFERROR(VLOOKUP(A1240,'1227-29耗量'!$A$1:$C$602,3,FALSE),0)</f>
        <v>4</v>
      </c>
      <c r="E1240" s="7">
        <f t="shared" si="38"/>
        <v>149</v>
      </c>
      <c r="F1240" s="7" t="str">
        <f t="shared" si="39"/>
        <v>無資料</v>
      </c>
      <c r="G1240" s="7" t="e">
        <f>VLOOKUP(A1240,Sheet5!$A$2:$D$415,4,FALSE)</f>
        <v>#N/A</v>
      </c>
      <c r="H1240" s="7" t="e">
        <f>VLOOKUP(A1240,Sheet5!$A$2:$D$415,3,FALSE)</f>
        <v>#N/A</v>
      </c>
      <c r="I1240" s="7" t="e">
        <f>VLOOKUP(A1240,'1201-29周均耗用'!$A$1:$C$602,3,FALSE)</f>
        <v>#N/A</v>
      </c>
    </row>
    <row r="1241" spans="1:9">
      <c r="A1241" s="13" t="s">
        <v>2487</v>
      </c>
      <c r="B1241" s="14" t="s">
        <v>2488</v>
      </c>
      <c r="C1241" s="13">
        <v>23</v>
      </c>
      <c r="D1241" s="7">
        <f>IFERROR(VLOOKUP(A1241,'1227-29耗量'!$A$1:$C$602,3,FALSE),0)</f>
        <v>0</v>
      </c>
      <c r="E1241" s="7">
        <f t="shared" si="38"/>
        <v>23</v>
      </c>
      <c r="F1241" s="7" t="str">
        <f t="shared" si="39"/>
        <v>錯誤</v>
      </c>
      <c r="G1241" s="7">
        <f>VLOOKUP(A1241,Sheet5!$A$2:$D$415,4,FALSE)</f>
        <v>11</v>
      </c>
      <c r="H1241" s="7">
        <f>VLOOKUP(A1241,Sheet5!$A$2:$D$415,3,FALSE)</f>
        <v>12</v>
      </c>
      <c r="I1241" s="7">
        <f>VLOOKUP(A1241,'1201-29周均耗用'!$A$1:$C$602,3,FALSE)</f>
        <v>13</v>
      </c>
    </row>
    <row r="1242" spans="1:9">
      <c r="A1242" s="13" t="s">
        <v>2489</v>
      </c>
      <c r="B1242" s="14" t="s">
        <v>2490</v>
      </c>
      <c r="C1242" s="13">
        <v>0</v>
      </c>
      <c r="D1242" s="7">
        <f>IFERROR(VLOOKUP(A1242,'1227-29耗量'!$A$1:$C$602,3,FALSE),0)</f>
        <v>0</v>
      </c>
      <c r="E1242" s="7">
        <f t="shared" si="38"/>
        <v>0</v>
      </c>
      <c r="F1242" s="7" t="str">
        <f t="shared" si="39"/>
        <v>無資料</v>
      </c>
      <c r="G1242" s="7" t="e">
        <f>VLOOKUP(A1242,Sheet5!$A$2:$D$415,4,FALSE)</f>
        <v>#N/A</v>
      </c>
      <c r="H1242" s="7" t="e">
        <f>VLOOKUP(A1242,Sheet5!$A$2:$D$415,3,FALSE)</f>
        <v>#N/A</v>
      </c>
      <c r="I1242" s="7" t="e">
        <f>VLOOKUP(A1242,'1201-29周均耗用'!$A$1:$C$602,3,FALSE)</f>
        <v>#N/A</v>
      </c>
    </row>
    <row r="1243" spans="1:9">
      <c r="A1243" s="13" t="s">
        <v>2491</v>
      </c>
      <c r="B1243" s="14" t="s">
        <v>2492</v>
      </c>
      <c r="C1243" s="13">
        <v>783</v>
      </c>
      <c r="D1243" s="7">
        <f>VLOOKUP(A1243,'1227-29耗量'!$A$1:$C$602,3,FALSE)</f>
        <v>3</v>
      </c>
      <c r="E1243" s="7">
        <f t="shared" si="38"/>
        <v>780</v>
      </c>
      <c r="F1243" s="7" t="str">
        <f t="shared" si="39"/>
        <v>錯誤</v>
      </c>
      <c r="G1243" s="7">
        <f>VLOOKUP(A1243,Sheet5!$A$2:$D$415,4,FALSE)</f>
        <v>422</v>
      </c>
      <c r="H1243" s="7">
        <f>VLOOKUP(A1243,Sheet5!$A$2:$D$415,3,FALSE)</f>
        <v>90</v>
      </c>
      <c r="I1243" s="7">
        <f>VLOOKUP(A1243,'1201-29周均耗用'!$A$1:$C$602,3,FALSE)</f>
        <v>231.8</v>
      </c>
    </row>
    <row r="1244" spans="1:9">
      <c r="A1244" s="13" t="s">
        <v>2493</v>
      </c>
      <c r="B1244" s="14" t="s">
        <v>2494</v>
      </c>
      <c r="C1244" s="13">
        <v>8</v>
      </c>
      <c r="D1244" s="7">
        <f>IFERROR(VLOOKUP(A1244,'1227-29耗量'!$A$1:$C$602,3,FALSE),0)</f>
        <v>0</v>
      </c>
      <c r="E1244" s="7">
        <f t="shared" si="38"/>
        <v>8</v>
      </c>
      <c r="F1244" s="7" t="str">
        <f t="shared" si="39"/>
        <v>錯誤</v>
      </c>
      <c r="G1244" s="7">
        <f>VLOOKUP(A1244,Sheet5!$A$2:$D$415,4,FALSE)</f>
        <v>0</v>
      </c>
      <c r="H1244" s="7">
        <f>VLOOKUP(A1244,Sheet5!$A$2:$D$415,3,FALSE)</f>
        <v>8</v>
      </c>
      <c r="I1244" s="7" t="e">
        <f>VLOOKUP(A1244,'1201-29周均耗用'!$A$1:$C$602,3,FALSE)</f>
        <v>#N/A</v>
      </c>
    </row>
    <row r="1245" spans="1:9">
      <c r="A1245" s="13" t="s">
        <v>2495</v>
      </c>
      <c r="B1245" s="14" t="s">
        <v>2496</v>
      </c>
      <c r="C1245" s="13">
        <v>0</v>
      </c>
      <c r="D1245" s="7">
        <f>IFERROR(VLOOKUP(A1245,'1227-29耗量'!$A$1:$C$602,3,FALSE),0)</f>
        <v>0</v>
      </c>
      <c r="E1245" s="7">
        <f t="shared" si="38"/>
        <v>0</v>
      </c>
      <c r="F1245" s="7" t="str">
        <f t="shared" si="39"/>
        <v>無資料</v>
      </c>
      <c r="G1245" s="7" t="e">
        <f>VLOOKUP(A1245,Sheet5!$A$2:$D$415,4,FALSE)</f>
        <v>#N/A</v>
      </c>
      <c r="H1245" s="7" t="e">
        <f>VLOOKUP(A1245,Sheet5!$A$2:$D$415,3,FALSE)</f>
        <v>#N/A</v>
      </c>
      <c r="I1245" s="7" t="e">
        <f>VLOOKUP(A1245,'1201-29周均耗用'!$A$1:$C$602,3,FALSE)</f>
        <v>#N/A</v>
      </c>
    </row>
    <row r="1246" spans="1:9">
      <c r="A1246" s="13" t="s">
        <v>2497</v>
      </c>
      <c r="B1246" s="14" t="s">
        <v>2498</v>
      </c>
      <c r="C1246" s="13">
        <v>0</v>
      </c>
      <c r="D1246" s="7">
        <f>IFERROR(VLOOKUP(A1246,'1227-29耗量'!$A$1:$C$602,3,FALSE),0)</f>
        <v>0</v>
      </c>
      <c r="E1246" s="7">
        <f t="shared" si="38"/>
        <v>0</v>
      </c>
      <c r="F1246" s="7" t="str">
        <f t="shared" si="39"/>
        <v>無資料</v>
      </c>
      <c r="G1246" s="7" t="e">
        <f>VLOOKUP(A1246,Sheet5!$A$2:$D$415,4,FALSE)</f>
        <v>#N/A</v>
      </c>
      <c r="H1246" s="7" t="e">
        <f>VLOOKUP(A1246,Sheet5!$A$2:$D$415,3,FALSE)</f>
        <v>#N/A</v>
      </c>
      <c r="I1246" s="7" t="e">
        <f>VLOOKUP(A1246,'1201-29周均耗用'!$A$1:$C$602,3,FALSE)</f>
        <v>#N/A</v>
      </c>
    </row>
    <row r="1247" spans="1:9">
      <c r="A1247" s="13" t="s">
        <v>2499</v>
      </c>
      <c r="B1247" s="14" t="s">
        <v>2500</v>
      </c>
      <c r="C1247" s="13">
        <v>0</v>
      </c>
      <c r="D1247" s="7">
        <f>IFERROR(VLOOKUP(A1247,'1227-29耗量'!$A$1:$C$602,3,FALSE),0)</f>
        <v>0</v>
      </c>
      <c r="E1247" s="7">
        <f t="shared" si="38"/>
        <v>0</v>
      </c>
      <c r="F1247" s="7" t="str">
        <f t="shared" si="39"/>
        <v>無資料</v>
      </c>
      <c r="G1247" s="7" t="e">
        <f>VLOOKUP(A1247,Sheet5!$A$2:$D$415,4,FALSE)</f>
        <v>#N/A</v>
      </c>
      <c r="H1247" s="7" t="e">
        <f>VLOOKUP(A1247,Sheet5!$A$2:$D$415,3,FALSE)</f>
        <v>#N/A</v>
      </c>
      <c r="I1247" s="7" t="e">
        <f>VLOOKUP(A1247,'1201-29周均耗用'!$A$1:$C$602,3,FALSE)</f>
        <v>#N/A</v>
      </c>
    </row>
    <row r="1248" spans="1:9">
      <c r="A1248" s="13" t="s">
        <v>2501</v>
      </c>
      <c r="B1248" s="14" t="s">
        <v>2502</v>
      </c>
      <c r="C1248" s="13">
        <v>0</v>
      </c>
      <c r="D1248" s="7">
        <f>IFERROR(VLOOKUP(A1248,'1227-29耗量'!$A$1:$C$602,3,FALSE),0)</f>
        <v>0</v>
      </c>
      <c r="E1248" s="7">
        <f t="shared" si="38"/>
        <v>0</v>
      </c>
      <c r="F1248" s="7" t="str">
        <f t="shared" si="39"/>
        <v>無資料</v>
      </c>
      <c r="G1248" s="7" t="e">
        <f>VLOOKUP(A1248,Sheet5!$A$2:$D$415,4,FALSE)</f>
        <v>#N/A</v>
      </c>
      <c r="H1248" s="7" t="e">
        <f>VLOOKUP(A1248,Sheet5!$A$2:$D$415,3,FALSE)</f>
        <v>#N/A</v>
      </c>
      <c r="I1248" s="7" t="e">
        <f>VLOOKUP(A1248,'1201-29周均耗用'!$A$1:$C$602,3,FALSE)</f>
        <v>#N/A</v>
      </c>
    </row>
    <row r="1249" spans="1:9">
      <c r="A1249" s="13" t="s">
        <v>2503</v>
      </c>
      <c r="B1249" s="14" t="s">
        <v>2504</v>
      </c>
      <c r="C1249" s="13">
        <v>15</v>
      </c>
      <c r="D1249" s="7">
        <f>IFERROR(VLOOKUP(A1249,'1227-29耗量'!$A$1:$C$602,3,FALSE),0)</f>
        <v>0</v>
      </c>
      <c r="E1249" s="7">
        <f t="shared" si="38"/>
        <v>15</v>
      </c>
      <c r="F1249" s="7" t="str">
        <f t="shared" si="39"/>
        <v>錯誤</v>
      </c>
      <c r="G1249" s="7">
        <f>VLOOKUP(A1249,Sheet5!$A$2:$D$415,4,FALSE)</f>
        <v>5</v>
      </c>
      <c r="H1249" s="7">
        <f>VLOOKUP(A1249,Sheet5!$A$2:$D$415,3,FALSE)</f>
        <v>10</v>
      </c>
      <c r="I1249" s="7" t="e">
        <f>VLOOKUP(A1249,'1201-29周均耗用'!$A$1:$C$602,3,FALSE)</f>
        <v>#N/A</v>
      </c>
    </row>
    <row r="1250" spans="1:9">
      <c r="A1250" s="13" t="s">
        <v>2505</v>
      </c>
      <c r="B1250" s="14" t="s">
        <v>2506</v>
      </c>
      <c r="C1250" s="13">
        <v>7</v>
      </c>
      <c r="D1250" s="7">
        <f>IFERROR(VLOOKUP(A1250,'1227-29耗量'!$A$1:$C$602,3,FALSE),0)</f>
        <v>0</v>
      </c>
      <c r="E1250" s="7">
        <f t="shared" si="38"/>
        <v>7</v>
      </c>
      <c r="F1250" s="7" t="str">
        <f t="shared" si="39"/>
        <v>無資料</v>
      </c>
      <c r="G1250" s="7" t="e">
        <f>VLOOKUP(A1250,Sheet5!$A$2:$D$415,4,FALSE)</f>
        <v>#N/A</v>
      </c>
      <c r="H1250" s="7" t="e">
        <f>VLOOKUP(A1250,Sheet5!$A$2:$D$415,3,FALSE)</f>
        <v>#N/A</v>
      </c>
      <c r="I1250" s="7" t="e">
        <f>VLOOKUP(A1250,'1201-29周均耗用'!$A$1:$C$602,3,FALSE)</f>
        <v>#N/A</v>
      </c>
    </row>
    <row r="1251" spans="1:9">
      <c r="A1251" s="13" t="s">
        <v>2507</v>
      </c>
      <c r="B1251" s="14" t="s">
        <v>2508</v>
      </c>
      <c r="C1251" s="13">
        <v>14</v>
      </c>
      <c r="D1251" s="7">
        <f>IFERROR(VLOOKUP(A1251,'1227-29耗量'!$A$1:$C$602,3,FALSE),0)</f>
        <v>0</v>
      </c>
      <c r="E1251" s="7">
        <f t="shared" si="38"/>
        <v>14</v>
      </c>
      <c r="F1251" s="7" t="str">
        <f t="shared" si="39"/>
        <v>無資料</v>
      </c>
      <c r="G1251" s="7" t="e">
        <f>VLOOKUP(A1251,Sheet5!$A$2:$D$415,4,FALSE)</f>
        <v>#N/A</v>
      </c>
      <c r="H1251" s="7" t="e">
        <f>VLOOKUP(A1251,Sheet5!$A$2:$D$415,3,FALSE)</f>
        <v>#N/A</v>
      </c>
      <c r="I1251" s="7" t="e">
        <f>VLOOKUP(A1251,'1201-29周均耗用'!$A$1:$C$602,3,FALSE)</f>
        <v>#N/A</v>
      </c>
    </row>
    <row r="1252" spans="1:9">
      <c r="A1252" s="13" t="s">
        <v>2509</v>
      </c>
      <c r="B1252" s="14" t="s">
        <v>2510</v>
      </c>
      <c r="C1252" s="13">
        <v>75</v>
      </c>
      <c r="D1252" s="7">
        <f>IFERROR(VLOOKUP(A1252,'1227-29耗量'!$A$1:$C$602,3,FALSE),0)</f>
        <v>12</v>
      </c>
      <c r="E1252" s="7">
        <f t="shared" si="38"/>
        <v>63</v>
      </c>
      <c r="F1252" s="7" t="str">
        <f t="shared" si="39"/>
        <v>無資料</v>
      </c>
      <c r="G1252" s="7" t="e">
        <f>VLOOKUP(A1252,Sheet5!$A$2:$D$415,4,FALSE)</f>
        <v>#N/A</v>
      </c>
      <c r="H1252" s="7" t="e">
        <f>VLOOKUP(A1252,Sheet5!$A$2:$D$415,3,FALSE)</f>
        <v>#N/A</v>
      </c>
      <c r="I1252" s="7">
        <f>VLOOKUP(A1252,'1201-29周均耗用'!$A$1:$C$602,3,FALSE)</f>
        <v>36</v>
      </c>
    </row>
    <row r="1253" spans="1:9">
      <c r="A1253" s="13" t="s">
        <v>2511</v>
      </c>
      <c r="B1253" s="14" t="s">
        <v>2512</v>
      </c>
      <c r="C1253" s="13">
        <v>360</v>
      </c>
      <c r="D1253" s="7">
        <f>VLOOKUP(A1253,'1227-29耗量'!$A$1:$C$602,3,FALSE)</f>
        <v>29</v>
      </c>
      <c r="E1253" s="7">
        <f t="shared" si="38"/>
        <v>331</v>
      </c>
      <c r="F1253" s="7" t="str">
        <f t="shared" si="39"/>
        <v>錯誤</v>
      </c>
      <c r="G1253" s="7">
        <f>VLOOKUP(A1253,Sheet5!$A$2:$D$415,4,FALSE)</f>
        <v>199</v>
      </c>
      <c r="H1253" s="7">
        <f>VLOOKUP(A1253,Sheet5!$A$2:$D$415,3,FALSE)</f>
        <v>672</v>
      </c>
      <c r="I1253" s="7" t="e">
        <f>VLOOKUP(A1253,'1201-29周均耗用'!$A$1:$C$602,3,FALSE)</f>
        <v>#N/A</v>
      </c>
    </row>
    <row r="1254" spans="1:9">
      <c r="A1254" s="13" t="s">
        <v>2513</v>
      </c>
      <c r="B1254" s="14" t="s">
        <v>2514</v>
      </c>
      <c r="C1254" s="13">
        <v>3</v>
      </c>
      <c r="D1254" s="7">
        <f>IFERROR(VLOOKUP(A1254,'1227-29耗量'!$A$1:$C$602,3,FALSE),0)</f>
        <v>0</v>
      </c>
      <c r="E1254" s="7">
        <f t="shared" si="38"/>
        <v>3</v>
      </c>
      <c r="F1254" s="7" t="str">
        <f t="shared" si="39"/>
        <v>無資料</v>
      </c>
      <c r="G1254" s="7" t="e">
        <f>VLOOKUP(A1254,Sheet5!$A$2:$D$415,4,FALSE)</f>
        <v>#N/A</v>
      </c>
      <c r="H1254" s="7" t="e">
        <f>VLOOKUP(A1254,Sheet5!$A$2:$D$415,3,FALSE)</f>
        <v>#N/A</v>
      </c>
      <c r="I1254" s="7" t="e">
        <f>VLOOKUP(A1254,'1201-29周均耗用'!$A$1:$C$602,3,FALSE)</f>
        <v>#N/A</v>
      </c>
    </row>
    <row r="1255" spans="1:9">
      <c r="A1255" s="13" t="s">
        <v>2515</v>
      </c>
      <c r="B1255" s="14" t="s">
        <v>2516</v>
      </c>
      <c r="C1255" s="13">
        <v>3</v>
      </c>
      <c r="D1255" s="7">
        <f>IFERROR(VLOOKUP(A1255,'1227-29耗量'!$A$1:$C$602,3,FALSE),0)</f>
        <v>0</v>
      </c>
      <c r="E1255" s="7">
        <f t="shared" si="38"/>
        <v>3</v>
      </c>
      <c r="F1255" s="7" t="str">
        <f t="shared" si="39"/>
        <v>無資料</v>
      </c>
      <c r="G1255" s="7" t="e">
        <f>VLOOKUP(A1255,Sheet5!$A$2:$D$415,4,FALSE)</f>
        <v>#N/A</v>
      </c>
      <c r="H1255" s="7" t="e">
        <f>VLOOKUP(A1255,Sheet5!$A$2:$D$415,3,FALSE)</f>
        <v>#N/A</v>
      </c>
      <c r="I1255" s="7" t="e">
        <f>VLOOKUP(A1255,'1201-29周均耗用'!$A$1:$C$602,3,FALSE)</f>
        <v>#N/A</v>
      </c>
    </row>
    <row r="1256" spans="1:9">
      <c r="A1256" s="13" t="s">
        <v>2517</v>
      </c>
      <c r="B1256" s="14" t="s">
        <v>2518</v>
      </c>
      <c r="C1256" s="13">
        <v>0</v>
      </c>
      <c r="D1256" s="7">
        <f>IFERROR(VLOOKUP(A1256,'1227-29耗量'!$A$1:$C$602,3,FALSE),0)</f>
        <v>0</v>
      </c>
      <c r="E1256" s="7">
        <f t="shared" si="38"/>
        <v>0</v>
      </c>
      <c r="F1256" s="7" t="str">
        <f t="shared" si="39"/>
        <v>無資料</v>
      </c>
      <c r="G1256" s="7" t="e">
        <f>VLOOKUP(A1256,Sheet5!$A$2:$D$415,4,FALSE)</f>
        <v>#N/A</v>
      </c>
      <c r="H1256" s="7" t="e">
        <f>VLOOKUP(A1256,Sheet5!$A$2:$D$415,3,FALSE)</f>
        <v>#N/A</v>
      </c>
      <c r="I1256" s="7" t="e">
        <f>VLOOKUP(A1256,'1201-29周均耗用'!$A$1:$C$602,3,FALSE)</f>
        <v>#N/A</v>
      </c>
    </row>
    <row r="1257" spans="1:9">
      <c r="A1257" s="13" t="s">
        <v>2519</v>
      </c>
      <c r="B1257" s="14" t="s">
        <v>2520</v>
      </c>
      <c r="C1257" s="13">
        <v>256</v>
      </c>
      <c r="D1257" s="7">
        <f>IFERROR(VLOOKUP(A1257,'1227-29耗量'!$A$1:$C$602,3,FALSE),0)</f>
        <v>0</v>
      </c>
      <c r="E1257" s="7">
        <f t="shared" si="38"/>
        <v>256</v>
      </c>
      <c r="F1257" s="7" t="str">
        <f t="shared" si="39"/>
        <v>無資料</v>
      </c>
      <c r="G1257" s="7" t="e">
        <f>VLOOKUP(A1257,Sheet5!$A$2:$D$415,4,FALSE)</f>
        <v>#N/A</v>
      </c>
      <c r="H1257" s="7" t="e">
        <f>VLOOKUP(A1257,Sheet5!$A$2:$D$415,3,FALSE)</f>
        <v>#N/A</v>
      </c>
      <c r="I1257" s="7" t="e">
        <f>VLOOKUP(A1257,'1201-29周均耗用'!$A$1:$C$602,3,FALSE)</f>
        <v>#N/A</v>
      </c>
    </row>
    <row r="1258" spans="1:9">
      <c r="A1258" s="13" t="s">
        <v>2521</v>
      </c>
      <c r="B1258" s="14" t="s">
        <v>2522</v>
      </c>
      <c r="C1258" s="13">
        <v>465</v>
      </c>
      <c r="D1258" s="7">
        <f>VLOOKUP(A1258,'1227-29耗量'!$A$1:$C$602,3,FALSE)</f>
        <v>47</v>
      </c>
      <c r="E1258" s="7">
        <f t="shared" si="38"/>
        <v>418</v>
      </c>
      <c r="F1258" s="7" t="str">
        <f t="shared" si="39"/>
        <v>錯誤</v>
      </c>
      <c r="G1258" s="7">
        <f>VLOOKUP(A1258,Sheet5!$A$2:$D$415,4,FALSE)</f>
        <v>341</v>
      </c>
      <c r="H1258" s="7">
        <f>VLOOKUP(A1258,Sheet5!$A$2:$D$415,3,FALSE)</f>
        <v>2400</v>
      </c>
      <c r="I1258" s="7">
        <f>VLOOKUP(A1258,'1201-29周均耗用'!$A$1:$C$602,3,FALSE)</f>
        <v>384.8</v>
      </c>
    </row>
    <row r="1259" spans="1:9">
      <c r="A1259" s="13" t="s">
        <v>2523</v>
      </c>
      <c r="B1259" s="14" t="s">
        <v>2524</v>
      </c>
      <c r="C1259" s="13">
        <v>255</v>
      </c>
      <c r="D1259" s="7">
        <f>VLOOKUP(A1259,'1227-29耗量'!$A$1:$C$602,3,FALSE)</f>
        <v>6</v>
      </c>
      <c r="E1259" s="7">
        <f t="shared" si="38"/>
        <v>249</v>
      </c>
      <c r="F1259" s="7" t="str">
        <f t="shared" si="39"/>
        <v>錯誤</v>
      </c>
      <c r="G1259" s="7">
        <f>VLOOKUP(A1259,Sheet5!$A$2:$D$415,4,FALSE)</f>
        <v>186</v>
      </c>
      <c r="H1259" s="7">
        <f>VLOOKUP(A1259,Sheet5!$A$2:$D$415,3,FALSE)</f>
        <v>120</v>
      </c>
      <c r="I1259" s="7">
        <f>VLOOKUP(A1259,'1201-29周均耗用'!$A$1:$C$602,3,FALSE)</f>
        <v>38.2</v>
      </c>
    </row>
    <row r="1260" spans="1:9">
      <c r="A1260" s="13" t="s">
        <v>2525</v>
      </c>
      <c r="B1260" s="14" t="s">
        <v>2526</v>
      </c>
      <c r="C1260" s="13">
        <v>0</v>
      </c>
      <c r="D1260" s="7">
        <f>IFERROR(VLOOKUP(A1260,'1227-29耗量'!$A$1:$C$602,3,FALSE),0)</f>
        <v>0</v>
      </c>
      <c r="E1260" s="7">
        <f t="shared" si="38"/>
        <v>0</v>
      </c>
      <c r="F1260" s="7" t="str">
        <f t="shared" si="39"/>
        <v>無資料</v>
      </c>
      <c r="G1260" s="7" t="e">
        <f>VLOOKUP(A1260,Sheet5!$A$2:$D$415,4,FALSE)</f>
        <v>#N/A</v>
      </c>
      <c r="H1260" s="7" t="e">
        <f>VLOOKUP(A1260,Sheet5!$A$2:$D$415,3,FALSE)</f>
        <v>#N/A</v>
      </c>
      <c r="I1260" s="7" t="e">
        <f>VLOOKUP(A1260,'1201-29周均耗用'!$A$1:$C$602,3,FALSE)</f>
        <v>#N/A</v>
      </c>
    </row>
    <row r="1261" spans="1:9">
      <c r="A1261" s="13" t="s">
        <v>2527</v>
      </c>
      <c r="B1261" s="14" t="s">
        <v>2528</v>
      </c>
      <c r="C1261" s="13">
        <v>38</v>
      </c>
      <c r="D1261" s="7">
        <f>IFERROR(VLOOKUP(A1261,'1227-29耗量'!$A$1:$C$602,3,FALSE),0)</f>
        <v>0</v>
      </c>
      <c r="E1261" s="7">
        <f t="shared" si="38"/>
        <v>38</v>
      </c>
      <c r="F1261" s="7" t="str">
        <f t="shared" si="39"/>
        <v>錯誤</v>
      </c>
      <c r="G1261" s="7">
        <f>VLOOKUP(A1261,Sheet5!$A$2:$D$415,4,FALSE)</f>
        <v>33</v>
      </c>
      <c r="H1261" s="7">
        <f>VLOOKUP(A1261,Sheet5!$A$2:$D$415,3,FALSE)</f>
        <v>60</v>
      </c>
      <c r="I1261" s="7">
        <f>VLOOKUP(A1261,'1201-29周均耗用'!$A$1:$C$602,3,FALSE)</f>
        <v>5.2</v>
      </c>
    </row>
    <row r="1262" spans="1:9">
      <c r="A1262" s="13" t="s">
        <v>2529</v>
      </c>
      <c r="B1262" s="14" t="s">
        <v>2530</v>
      </c>
      <c r="C1262" s="13">
        <v>3030</v>
      </c>
      <c r="D1262" s="7">
        <f>VLOOKUP(A1262,'1227-29耗量'!$A$1:$C$602,3,FALSE)</f>
        <v>166</v>
      </c>
      <c r="E1262" s="7">
        <f t="shared" si="38"/>
        <v>2864</v>
      </c>
      <c r="F1262" s="7" t="str">
        <f t="shared" si="39"/>
        <v>錯誤</v>
      </c>
      <c r="G1262" s="7">
        <f>VLOOKUP(A1262,Sheet5!$A$2:$D$415,4,FALSE)</f>
        <v>1985</v>
      </c>
      <c r="H1262" s="7">
        <f>VLOOKUP(A1262,Sheet5!$A$2:$D$415,3,FALSE)</f>
        <v>3000</v>
      </c>
      <c r="I1262" s="7" t="e">
        <f>VLOOKUP(A1262,'1201-29周均耗用'!$A$1:$C$602,3,FALSE)</f>
        <v>#N/A</v>
      </c>
    </row>
    <row r="1263" spans="1:9">
      <c r="A1263" s="13" t="s">
        <v>2531</v>
      </c>
      <c r="B1263" s="14" t="s">
        <v>2532</v>
      </c>
      <c r="C1263" s="13">
        <v>293</v>
      </c>
      <c r="D1263" s="7">
        <f>VLOOKUP(A1263,'1227-29耗量'!$A$1:$C$602,3,FALSE)</f>
        <v>5</v>
      </c>
      <c r="E1263" s="7">
        <f t="shared" si="38"/>
        <v>288</v>
      </c>
      <c r="F1263" s="7" t="str">
        <f t="shared" si="39"/>
        <v>錯誤</v>
      </c>
      <c r="G1263" s="7">
        <f>VLOOKUP(A1263,Sheet5!$A$2:$D$415,4,FALSE)</f>
        <v>146</v>
      </c>
      <c r="H1263" s="7">
        <f>VLOOKUP(A1263,Sheet5!$A$2:$D$415,3,FALSE)</f>
        <v>200</v>
      </c>
      <c r="I1263" s="7" t="e">
        <f>VLOOKUP(A1263,'1201-29周均耗用'!$A$1:$C$602,3,FALSE)</f>
        <v>#N/A</v>
      </c>
    </row>
    <row r="1264" spans="1:9">
      <c r="A1264" s="13" t="s">
        <v>2533</v>
      </c>
      <c r="B1264" s="14" t="s">
        <v>2534</v>
      </c>
      <c r="C1264" s="13">
        <v>95</v>
      </c>
      <c r="D1264" s="7">
        <f>VLOOKUP(A1264,'1227-29耗量'!$A$1:$C$602,3,FALSE)</f>
        <v>7</v>
      </c>
      <c r="E1264" s="7">
        <f t="shared" si="38"/>
        <v>88</v>
      </c>
      <c r="F1264" s="7" t="str">
        <f t="shared" si="39"/>
        <v>錯誤</v>
      </c>
      <c r="G1264" s="7">
        <f>VLOOKUP(A1264,Sheet5!$A$2:$D$415,4,FALSE)</f>
        <v>38</v>
      </c>
      <c r="H1264" s="7">
        <f>VLOOKUP(A1264,Sheet5!$A$2:$D$415,3,FALSE)</f>
        <v>50</v>
      </c>
      <c r="I1264" s="7" t="e">
        <f>VLOOKUP(A1264,'1201-29周均耗用'!$A$1:$C$602,3,FALSE)</f>
        <v>#N/A</v>
      </c>
    </row>
    <row r="1265" spans="1:9">
      <c r="A1265" s="13" t="s">
        <v>2535</v>
      </c>
      <c r="B1265" s="14" t="s">
        <v>2536</v>
      </c>
      <c r="C1265" s="13">
        <v>44</v>
      </c>
      <c r="D1265" s="7">
        <f>VLOOKUP(A1265,'1227-29耗量'!$A$1:$C$602,3,FALSE)</f>
        <v>20</v>
      </c>
      <c r="E1265" s="7">
        <f t="shared" si="38"/>
        <v>24</v>
      </c>
      <c r="F1265" s="7" t="str">
        <f t="shared" si="39"/>
        <v>錯誤</v>
      </c>
      <c r="G1265" s="7">
        <f>VLOOKUP(A1265,Sheet5!$A$2:$D$415,4,FALSE)</f>
        <v>27</v>
      </c>
      <c r="H1265" s="7">
        <f>VLOOKUP(A1265,Sheet5!$A$2:$D$415,3,FALSE)</f>
        <v>100</v>
      </c>
      <c r="I1265" s="7" t="e">
        <f>VLOOKUP(A1265,'1201-29周均耗用'!$A$1:$C$602,3,FALSE)</f>
        <v>#N/A</v>
      </c>
    </row>
    <row r="1266" spans="1:9">
      <c r="A1266" s="13" t="s">
        <v>2537</v>
      </c>
      <c r="B1266" s="14" t="s">
        <v>2538</v>
      </c>
      <c r="C1266" s="13">
        <v>0</v>
      </c>
      <c r="D1266" s="7">
        <f>IFERROR(VLOOKUP(A1266,'1227-29耗量'!$A$1:$C$602,3,FALSE),0)</f>
        <v>0</v>
      </c>
      <c r="E1266" s="7">
        <f t="shared" si="38"/>
        <v>0</v>
      </c>
      <c r="F1266" s="7" t="str">
        <f t="shared" si="39"/>
        <v>無資料</v>
      </c>
      <c r="G1266" s="7" t="e">
        <f>VLOOKUP(A1266,Sheet5!$A$2:$D$415,4,FALSE)</f>
        <v>#N/A</v>
      </c>
      <c r="H1266" s="7" t="e">
        <f>VLOOKUP(A1266,Sheet5!$A$2:$D$415,3,FALSE)</f>
        <v>#N/A</v>
      </c>
      <c r="I1266" s="7" t="e">
        <f>VLOOKUP(A1266,'1201-29周均耗用'!$A$1:$C$602,3,FALSE)</f>
        <v>#N/A</v>
      </c>
    </row>
    <row r="1267" spans="1:9">
      <c r="A1267" s="13" t="s">
        <v>2539</v>
      </c>
      <c r="B1267" s="14" t="s">
        <v>2540</v>
      </c>
      <c r="C1267" s="13">
        <v>0</v>
      </c>
      <c r="D1267" s="7">
        <f>IFERROR(VLOOKUP(A1267,'1227-29耗量'!$A$1:$C$602,3,FALSE),0)</f>
        <v>0</v>
      </c>
      <c r="E1267" s="7">
        <f t="shared" si="38"/>
        <v>0</v>
      </c>
      <c r="F1267" s="7" t="str">
        <f t="shared" si="39"/>
        <v>無資料</v>
      </c>
      <c r="G1267" s="7" t="e">
        <f>VLOOKUP(A1267,Sheet5!$A$2:$D$415,4,FALSE)</f>
        <v>#N/A</v>
      </c>
      <c r="H1267" s="7" t="e">
        <f>VLOOKUP(A1267,Sheet5!$A$2:$D$415,3,FALSE)</f>
        <v>#N/A</v>
      </c>
      <c r="I1267" s="7" t="e">
        <f>VLOOKUP(A1267,'1201-29周均耗用'!$A$1:$C$602,3,FALSE)</f>
        <v>#N/A</v>
      </c>
    </row>
    <row r="1268" spans="1:9">
      <c r="A1268" s="13" t="s">
        <v>2541</v>
      </c>
      <c r="B1268" s="14" t="s">
        <v>2542</v>
      </c>
      <c r="C1268" s="13">
        <v>0</v>
      </c>
      <c r="D1268" s="7">
        <f>IFERROR(VLOOKUP(A1268,'1227-29耗量'!$A$1:$C$602,3,FALSE),0)</f>
        <v>0</v>
      </c>
      <c r="E1268" s="7">
        <f t="shared" si="38"/>
        <v>0</v>
      </c>
      <c r="F1268" s="7" t="str">
        <f t="shared" si="39"/>
        <v>無資料</v>
      </c>
      <c r="G1268" s="7" t="e">
        <f>VLOOKUP(A1268,Sheet5!$A$2:$D$415,4,FALSE)</f>
        <v>#N/A</v>
      </c>
      <c r="H1268" s="7" t="e">
        <f>VLOOKUP(A1268,Sheet5!$A$2:$D$415,3,FALSE)</f>
        <v>#N/A</v>
      </c>
      <c r="I1268" s="7" t="e">
        <f>VLOOKUP(A1268,'1201-29周均耗用'!$A$1:$C$602,3,FALSE)</f>
        <v>#N/A</v>
      </c>
    </row>
    <row r="1269" spans="1:9">
      <c r="A1269" s="13" t="s">
        <v>2543</v>
      </c>
      <c r="B1269" s="14" t="s">
        <v>2544</v>
      </c>
      <c r="C1269" s="13">
        <v>192</v>
      </c>
      <c r="D1269" s="7">
        <f>IFERROR(VLOOKUP(A1269,'1227-29耗量'!$A$1:$C$602,3,FALSE),0)</f>
        <v>0</v>
      </c>
      <c r="E1269" s="7">
        <f t="shared" si="38"/>
        <v>192</v>
      </c>
      <c r="F1269" s="7" t="str">
        <f t="shared" si="39"/>
        <v>無資料</v>
      </c>
      <c r="G1269" s="7" t="e">
        <f>VLOOKUP(A1269,Sheet5!$A$2:$D$415,4,FALSE)</f>
        <v>#N/A</v>
      </c>
      <c r="H1269" s="7" t="e">
        <f>VLOOKUP(A1269,Sheet5!$A$2:$D$415,3,FALSE)</f>
        <v>#N/A</v>
      </c>
      <c r="I1269" s="7" t="e">
        <f>VLOOKUP(A1269,'1201-29周均耗用'!$A$1:$C$602,3,FALSE)</f>
        <v>#N/A</v>
      </c>
    </row>
    <row r="1270" spans="1:9">
      <c r="A1270" s="13" t="s">
        <v>2545</v>
      </c>
      <c r="B1270" s="14" t="s">
        <v>2546</v>
      </c>
      <c r="C1270" s="13">
        <v>0</v>
      </c>
      <c r="D1270" s="7">
        <f>IFERROR(VLOOKUP(A1270,'1227-29耗量'!$A$1:$C$602,3,FALSE),0)</f>
        <v>0</v>
      </c>
      <c r="E1270" s="7">
        <f t="shared" si="38"/>
        <v>0</v>
      </c>
      <c r="F1270" s="7" t="str">
        <f t="shared" si="39"/>
        <v>無資料</v>
      </c>
      <c r="G1270" s="7" t="e">
        <f>VLOOKUP(A1270,Sheet5!$A$2:$D$415,4,FALSE)</f>
        <v>#N/A</v>
      </c>
      <c r="H1270" s="7" t="e">
        <f>VLOOKUP(A1270,Sheet5!$A$2:$D$415,3,FALSE)</f>
        <v>#N/A</v>
      </c>
      <c r="I1270" s="7" t="e">
        <f>VLOOKUP(A1270,'1201-29周均耗用'!$A$1:$C$602,3,FALSE)</f>
        <v>#N/A</v>
      </c>
    </row>
    <row r="1271" spans="1:9">
      <c r="A1271" s="13" t="s">
        <v>2547</v>
      </c>
      <c r="B1271" s="14" t="s">
        <v>2548</v>
      </c>
      <c r="C1271" s="13">
        <v>0</v>
      </c>
      <c r="D1271" s="7">
        <f>IFERROR(VLOOKUP(A1271,'1227-29耗量'!$A$1:$C$602,3,FALSE),0)</f>
        <v>0</v>
      </c>
      <c r="E1271" s="7">
        <f t="shared" si="38"/>
        <v>0</v>
      </c>
      <c r="F1271" s="7" t="str">
        <f t="shared" si="39"/>
        <v>無資料</v>
      </c>
      <c r="G1271" s="7" t="e">
        <f>VLOOKUP(A1271,Sheet5!$A$2:$D$415,4,FALSE)</f>
        <v>#N/A</v>
      </c>
      <c r="H1271" s="7" t="e">
        <f>VLOOKUP(A1271,Sheet5!$A$2:$D$415,3,FALSE)</f>
        <v>#N/A</v>
      </c>
      <c r="I1271" s="7" t="e">
        <f>VLOOKUP(A1271,'1201-29周均耗用'!$A$1:$C$602,3,FALSE)</f>
        <v>#N/A</v>
      </c>
    </row>
    <row r="1272" spans="1:9">
      <c r="A1272" s="13" t="s">
        <v>2549</v>
      </c>
      <c r="B1272" s="14" t="s">
        <v>2550</v>
      </c>
      <c r="C1272" s="13">
        <v>0</v>
      </c>
      <c r="D1272" s="7">
        <f>IFERROR(VLOOKUP(A1272,'1227-29耗量'!$A$1:$C$602,3,FALSE),0)</f>
        <v>0</v>
      </c>
      <c r="E1272" s="7">
        <f t="shared" si="38"/>
        <v>0</v>
      </c>
      <c r="F1272" s="7" t="str">
        <f t="shared" si="39"/>
        <v>無資料</v>
      </c>
      <c r="G1272" s="7" t="e">
        <f>VLOOKUP(A1272,Sheet5!$A$2:$D$415,4,FALSE)</f>
        <v>#N/A</v>
      </c>
      <c r="H1272" s="7" t="e">
        <f>VLOOKUP(A1272,Sheet5!$A$2:$D$415,3,FALSE)</f>
        <v>#N/A</v>
      </c>
      <c r="I1272" s="7" t="e">
        <f>VLOOKUP(A1272,'1201-29周均耗用'!$A$1:$C$602,3,FALSE)</f>
        <v>#N/A</v>
      </c>
    </row>
    <row r="1273" spans="1:9">
      <c r="A1273" s="13" t="s">
        <v>2551</v>
      </c>
      <c r="B1273" s="14" t="s">
        <v>2552</v>
      </c>
      <c r="C1273" s="13">
        <v>173</v>
      </c>
      <c r="D1273" s="7">
        <f>IFERROR(VLOOKUP(A1273,'1227-29耗量'!$A$1:$C$602,3,FALSE),0)</f>
        <v>29</v>
      </c>
      <c r="E1273" s="7">
        <f t="shared" si="38"/>
        <v>144</v>
      </c>
      <c r="F1273" s="7" t="str">
        <f t="shared" si="39"/>
        <v>無資料</v>
      </c>
      <c r="G1273" s="7" t="e">
        <f>VLOOKUP(A1273,Sheet5!$A$2:$D$415,4,FALSE)</f>
        <v>#N/A</v>
      </c>
      <c r="H1273" s="7" t="e">
        <f>VLOOKUP(A1273,Sheet5!$A$2:$D$415,3,FALSE)</f>
        <v>#N/A</v>
      </c>
      <c r="I1273" s="7" t="e">
        <f>VLOOKUP(A1273,'1201-29周均耗用'!$A$1:$C$602,3,FALSE)</f>
        <v>#N/A</v>
      </c>
    </row>
    <row r="1274" spans="1:9">
      <c r="A1274" s="13" t="s">
        <v>2553</v>
      </c>
      <c r="B1274" s="14" t="s">
        <v>2554</v>
      </c>
      <c r="C1274" s="13">
        <v>584</v>
      </c>
      <c r="D1274" s="7">
        <f>VLOOKUP(A1274,'1227-29耗量'!$A$1:$C$602,3,FALSE)</f>
        <v>8</v>
      </c>
      <c r="E1274" s="7">
        <f t="shared" si="38"/>
        <v>576</v>
      </c>
      <c r="F1274" s="7" t="str">
        <f t="shared" si="39"/>
        <v>錯誤</v>
      </c>
      <c r="G1274" s="7">
        <f>VLOOKUP(A1274,Sheet5!$A$2:$D$415,4,FALSE)</f>
        <v>357</v>
      </c>
      <c r="H1274" s="7">
        <f>VLOOKUP(A1274,Sheet5!$A$2:$D$415,3,FALSE)</f>
        <v>300</v>
      </c>
      <c r="I1274" s="7" t="e">
        <f>VLOOKUP(A1274,'1201-29周均耗用'!$A$1:$C$602,3,FALSE)</f>
        <v>#N/A</v>
      </c>
    </row>
    <row r="1275" spans="1:9">
      <c r="A1275" s="13" t="s">
        <v>2555</v>
      </c>
      <c r="B1275" s="14" t="s">
        <v>2556</v>
      </c>
      <c r="C1275" s="13">
        <v>0</v>
      </c>
      <c r="D1275" s="7">
        <f>IFERROR(VLOOKUP(A1275,'1227-29耗量'!$A$1:$C$602,3,FALSE),0)</f>
        <v>0</v>
      </c>
      <c r="E1275" s="7">
        <f t="shared" si="38"/>
        <v>0</v>
      </c>
      <c r="F1275" s="7" t="str">
        <f t="shared" si="39"/>
        <v>無資料</v>
      </c>
      <c r="G1275" s="7" t="e">
        <f>VLOOKUP(A1275,Sheet5!$A$2:$D$415,4,FALSE)</f>
        <v>#N/A</v>
      </c>
      <c r="H1275" s="7" t="e">
        <f>VLOOKUP(A1275,Sheet5!$A$2:$D$415,3,FALSE)</f>
        <v>#N/A</v>
      </c>
      <c r="I1275" s="7" t="e">
        <f>VLOOKUP(A1275,'1201-29周均耗用'!$A$1:$C$602,3,FALSE)</f>
        <v>#N/A</v>
      </c>
    </row>
    <row r="1276" spans="1:9">
      <c r="A1276" s="13" t="s">
        <v>2557</v>
      </c>
      <c r="B1276" s="14" t="s">
        <v>2558</v>
      </c>
      <c r="C1276" s="13">
        <v>131</v>
      </c>
      <c r="D1276" s="7">
        <f>VLOOKUP(A1276,'1227-29耗量'!$A$1:$C$602,3,FALSE)</f>
        <v>9</v>
      </c>
      <c r="E1276" s="7">
        <f t="shared" si="38"/>
        <v>122</v>
      </c>
      <c r="F1276" s="7" t="str">
        <f t="shared" si="39"/>
        <v>錯誤</v>
      </c>
      <c r="G1276" s="7">
        <f>VLOOKUP(A1276,Sheet5!$A$2:$D$415,4,FALSE)</f>
        <v>45</v>
      </c>
      <c r="H1276" s="7">
        <f>VLOOKUP(A1276,Sheet5!$A$2:$D$415,3,FALSE)</f>
        <v>168</v>
      </c>
      <c r="I1276" s="7" t="e">
        <f>VLOOKUP(A1276,'1201-29周均耗用'!$A$1:$C$602,3,FALSE)</f>
        <v>#N/A</v>
      </c>
    </row>
    <row r="1277" spans="1:9">
      <c r="A1277" s="13" t="s">
        <v>2559</v>
      </c>
      <c r="B1277" s="14" t="s">
        <v>2560</v>
      </c>
      <c r="C1277" s="13">
        <v>13</v>
      </c>
      <c r="D1277" s="7">
        <f>IFERROR(VLOOKUP(A1277,'1227-29耗量'!$A$1:$C$602,3,FALSE),0)</f>
        <v>0</v>
      </c>
      <c r="E1277" s="7">
        <f t="shared" si="38"/>
        <v>13</v>
      </c>
      <c r="F1277" s="7" t="str">
        <f t="shared" si="39"/>
        <v>無資料</v>
      </c>
      <c r="G1277" s="7" t="e">
        <f>VLOOKUP(A1277,Sheet5!$A$2:$D$415,4,FALSE)</f>
        <v>#N/A</v>
      </c>
      <c r="H1277" s="7" t="e">
        <f>VLOOKUP(A1277,Sheet5!$A$2:$D$415,3,FALSE)</f>
        <v>#N/A</v>
      </c>
      <c r="I1277" s="7" t="e">
        <f>VLOOKUP(A1277,'1201-29周均耗用'!$A$1:$C$602,3,FALSE)</f>
        <v>#N/A</v>
      </c>
    </row>
    <row r="1278" spans="1:9">
      <c r="A1278" s="13" t="s">
        <v>2561</v>
      </c>
      <c r="B1278" s="14" t="s">
        <v>2562</v>
      </c>
      <c r="C1278" s="13">
        <v>178</v>
      </c>
      <c r="D1278" s="7">
        <f>IFERROR(VLOOKUP(A1278,'1227-29耗量'!$A$1:$C$602,3,FALSE),0)</f>
        <v>0</v>
      </c>
      <c r="E1278" s="7">
        <f t="shared" si="38"/>
        <v>178</v>
      </c>
      <c r="F1278" s="7" t="str">
        <f t="shared" si="39"/>
        <v>無資料</v>
      </c>
      <c r="G1278" s="7" t="e">
        <f>VLOOKUP(A1278,Sheet5!$A$2:$D$415,4,FALSE)</f>
        <v>#N/A</v>
      </c>
      <c r="H1278" s="7" t="e">
        <f>VLOOKUP(A1278,Sheet5!$A$2:$D$415,3,FALSE)</f>
        <v>#N/A</v>
      </c>
      <c r="I1278" s="7" t="e">
        <f>VLOOKUP(A1278,'1201-29周均耗用'!$A$1:$C$602,3,FALSE)</f>
        <v>#N/A</v>
      </c>
    </row>
    <row r="1279" spans="1:9">
      <c r="A1279" s="13" t="s">
        <v>2563</v>
      </c>
      <c r="B1279" s="14" t="s">
        <v>2564</v>
      </c>
      <c r="C1279" s="13">
        <v>0</v>
      </c>
      <c r="D1279" s="7">
        <f>IFERROR(VLOOKUP(A1279,'1227-29耗量'!$A$1:$C$602,3,FALSE),0)</f>
        <v>0</v>
      </c>
      <c r="E1279" s="7">
        <f t="shared" si="38"/>
        <v>0</v>
      </c>
      <c r="F1279" s="7" t="str">
        <f t="shared" si="39"/>
        <v>無資料</v>
      </c>
      <c r="G1279" s="7" t="e">
        <f>VLOOKUP(A1279,Sheet5!$A$2:$D$415,4,FALSE)</f>
        <v>#N/A</v>
      </c>
      <c r="H1279" s="7" t="e">
        <f>VLOOKUP(A1279,Sheet5!$A$2:$D$415,3,FALSE)</f>
        <v>#N/A</v>
      </c>
      <c r="I1279" s="7" t="e">
        <f>VLOOKUP(A1279,'1201-29周均耗用'!$A$1:$C$602,3,FALSE)</f>
        <v>#N/A</v>
      </c>
    </row>
    <row r="1280" spans="1:9">
      <c r="A1280" s="13" t="s">
        <v>2565</v>
      </c>
      <c r="B1280" s="14" t="s">
        <v>2566</v>
      </c>
      <c r="C1280" s="13">
        <v>0</v>
      </c>
      <c r="D1280" s="7">
        <f>IFERROR(VLOOKUP(A1280,'1227-29耗量'!$A$1:$C$602,3,FALSE),0)</f>
        <v>0</v>
      </c>
      <c r="E1280" s="7">
        <f t="shared" si="38"/>
        <v>0</v>
      </c>
      <c r="F1280" s="7" t="str">
        <f t="shared" si="39"/>
        <v>無資料</v>
      </c>
      <c r="G1280" s="7" t="e">
        <f>VLOOKUP(A1280,Sheet5!$A$2:$D$415,4,FALSE)</f>
        <v>#N/A</v>
      </c>
      <c r="H1280" s="7" t="e">
        <f>VLOOKUP(A1280,Sheet5!$A$2:$D$415,3,FALSE)</f>
        <v>#N/A</v>
      </c>
      <c r="I1280" s="7" t="e">
        <f>VLOOKUP(A1280,'1201-29周均耗用'!$A$1:$C$602,3,FALSE)</f>
        <v>#N/A</v>
      </c>
    </row>
    <row r="1281" spans="1:9">
      <c r="A1281" s="13" t="s">
        <v>2567</v>
      </c>
      <c r="B1281" s="14" t="s">
        <v>2568</v>
      </c>
      <c r="C1281" s="13">
        <v>1211</v>
      </c>
      <c r="D1281" s="7">
        <f>IFERROR(VLOOKUP(A1281,'1227-29耗量'!$A$1:$C$602,3,FALSE),0)</f>
        <v>64</v>
      </c>
      <c r="E1281" s="7">
        <f t="shared" si="38"/>
        <v>1147</v>
      </c>
      <c r="F1281" s="7" t="str">
        <f t="shared" si="39"/>
        <v>無資料</v>
      </c>
      <c r="G1281" s="7" t="e">
        <f>VLOOKUP(A1281,Sheet5!$A$2:$D$415,4,FALSE)</f>
        <v>#N/A</v>
      </c>
      <c r="H1281" s="7" t="e">
        <f>VLOOKUP(A1281,Sheet5!$A$2:$D$415,3,FALSE)</f>
        <v>#N/A</v>
      </c>
      <c r="I1281" s="7" t="e">
        <f>VLOOKUP(A1281,'1201-29周均耗用'!$A$1:$C$602,3,FALSE)</f>
        <v>#N/A</v>
      </c>
    </row>
    <row r="1282" spans="1:9">
      <c r="A1282" s="13" t="s">
        <v>2569</v>
      </c>
      <c r="B1282" s="14" t="s">
        <v>2570</v>
      </c>
      <c r="C1282" s="13">
        <v>1063</v>
      </c>
      <c r="D1282" s="7">
        <f>VLOOKUP(A1282,'1227-29耗量'!$A$1:$C$602,3,FALSE)</f>
        <v>39</v>
      </c>
      <c r="E1282" s="7">
        <f t="shared" si="38"/>
        <v>1024</v>
      </c>
      <c r="F1282" s="7" t="str">
        <f t="shared" si="39"/>
        <v>錯誤</v>
      </c>
      <c r="G1282" s="7">
        <f>VLOOKUP(A1282,Sheet5!$A$2:$D$415,4,FALSE)</f>
        <v>524</v>
      </c>
      <c r="H1282" s="7">
        <f>VLOOKUP(A1282,Sheet5!$A$2:$D$415,3,FALSE)</f>
        <v>600</v>
      </c>
      <c r="I1282" s="7" t="e">
        <f>VLOOKUP(A1282,'1201-29周均耗用'!$A$1:$C$602,3,FALSE)</f>
        <v>#N/A</v>
      </c>
    </row>
    <row r="1283" spans="1:9">
      <c r="A1283" s="13" t="s">
        <v>2571</v>
      </c>
      <c r="B1283" s="14" t="s">
        <v>2572</v>
      </c>
      <c r="C1283" s="13">
        <v>437</v>
      </c>
      <c r="D1283" s="7">
        <f>IFERROR(VLOOKUP(A1283,'1227-29耗量'!$A$1:$C$602,3,FALSE),0)</f>
        <v>40</v>
      </c>
      <c r="E1283" s="7">
        <f t="shared" ref="E1283:E1331" si="40">C1283-D1283</f>
        <v>397</v>
      </c>
      <c r="F1283" s="7" t="str">
        <f t="shared" ref="F1283:F1331" si="41">IFERROR(IF(E1283=G1283,"OK","錯誤"),"無資料")</f>
        <v>無資料</v>
      </c>
      <c r="G1283" s="7" t="e">
        <f>VLOOKUP(A1283,Sheet5!$A$2:$D$415,4,FALSE)</f>
        <v>#N/A</v>
      </c>
      <c r="H1283" s="7" t="e">
        <f>VLOOKUP(A1283,Sheet5!$A$2:$D$415,3,FALSE)</f>
        <v>#N/A</v>
      </c>
      <c r="I1283" s="7" t="e">
        <f>VLOOKUP(A1283,'1201-29周均耗用'!$A$1:$C$602,3,FALSE)</f>
        <v>#N/A</v>
      </c>
    </row>
    <row r="1284" spans="1:9">
      <c r="A1284" s="13" t="s">
        <v>2573</v>
      </c>
      <c r="B1284" s="14" t="s">
        <v>2574</v>
      </c>
      <c r="C1284" s="13">
        <v>265</v>
      </c>
      <c r="D1284" s="7">
        <f>VLOOKUP(A1284,'1227-29耗量'!$A$1:$C$602,3,FALSE)</f>
        <v>7</v>
      </c>
      <c r="E1284" s="7">
        <f t="shared" si="40"/>
        <v>258</v>
      </c>
      <c r="F1284" s="7" t="str">
        <f t="shared" si="41"/>
        <v>錯誤</v>
      </c>
      <c r="G1284" s="7">
        <f>VLOOKUP(A1284,Sheet5!$A$2:$D$415,4,FALSE)</f>
        <v>177</v>
      </c>
      <c r="H1284" s="7">
        <f>VLOOKUP(A1284,Sheet5!$A$2:$D$415,3,FALSE)</f>
        <v>300</v>
      </c>
      <c r="I1284" s="7" t="e">
        <f>VLOOKUP(A1284,'1201-29周均耗用'!$A$1:$C$602,3,FALSE)</f>
        <v>#N/A</v>
      </c>
    </row>
    <row r="1285" spans="1:9">
      <c r="A1285" s="13" t="s">
        <v>2575</v>
      </c>
      <c r="B1285" s="14" t="s">
        <v>2576</v>
      </c>
      <c r="C1285" s="13">
        <v>27</v>
      </c>
      <c r="D1285" s="7">
        <f>VLOOKUP(A1285,'1227-29耗量'!$A$1:$C$602,3,FALSE)</f>
        <v>6</v>
      </c>
      <c r="E1285" s="7">
        <f t="shared" si="40"/>
        <v>21</v>
      </c>
      <c r="F1285" s="7" t="str">
        <f t="shared" si="41"/>
        <v>錯誤</v>
      </c>
      <c r="G1285" s="7">
        <f>VLOOKUP(A1285,Sheet5!$A$2:$D$415,4,FALSE)</f>
        <v>9</v>
      </c>
      <c r="H1285" s="7">
        <f>VLOOKUP(A1285,Sheet5!$A$2:$D$415,3,FALSE)</f>
        <v>100</v>
      </c>
      <c r="I1285" s="7" t="e">
        <f>VLOOKUP(A1285,'1201-29周均耗用'!$A$1:$C$602,3,FALSE)</f>
        <v>#N/A</v>
      </c>
    </row>
    <row r="1286" spans="1:9">
      <c r="A1286" s="13" t="s">
        <v>2577</v>
      </c>
      <c r="B1286" s="14" t="s">
        <v>2578</v>
      </c>
      <c r="C1286" s="13">
        <v>372</v>
      </c>
      <c r="D1286" s="7">
        <f>VLOOKUP(A1286,'1227-29耗量'!$A$1:$C$602,3,FALSE)</f>
        <v>3</v>
      </c>
      <c r="E1286" s="7">
        <f t="shared" si="40"/>
        <v>369</v>
      </c>
      <c r="F1286" s="7" t="str">
        <f t="shared" si="41"/>
        <v>錯誤</v>
      </c>
      <c r="G1286" s="7">
        <f>VLOOKUP(A1286,Sheet5!$A$2:$D$415,4,FALSE)</f>
        <v>111</v>
      </c>
      <c r="H1286" s="7">
        <f>VLOOKUP(A1286,Sheet5!$A$2:$D$415,3,FALSE)</f>
        <v>400</v>
      </c>
      <c r="I1286" s="7" t="e">
        <f>VLOOKUP(A1286,'1201-29周均耗用'!$A$1:$C$602,3,FALSE)</f>
        <v>#N/A</v>
      </c>
    </row>
    <row r="1287" spans="1:9">
      <c r="A1287" s="13" t="s">
        <v>2579</v>
      </c>
      <c r="B1287" s="14" t="s">
        <v>2580</v>
      </c>
      <c r="C1287" s="13">
        <v>19</v>
      </c>
      <c r="D1287" s="7">
        <f>IFERROR(VLOOKUP(A1287,'1227-29耗量'!$A$1:$C$602,3,FALSE),0)</f>
        <v>0</v>
      </c>
      <c r="E1287" s="7">
        <f t="shared" si="40"/>
        <v>19</v>
      </c>
      <c r="F1287" s="7" t="str">
        <f t="shared" si="41"/>
        <v>無資料</v>
      </c>
      <c r="G1287" s="7" t="e">
        <f>VLOOKUP(A1287,Sheet5!$A$2:$D$415,4,FALSE)</f>
        <v>#N/A</v>
      </c>
      <c r="H1287" s="7" t="e">
        <f>VLOOKUP(A1287,Sheet5!$A$2:$D$415,3,FALSE)</f>
        <v>#N/A</v>
      </c>
      <c r="I1287" s="7" t="e">
        <f>VLOOKUP(A1287,'1201-29周均耗用'!$A$1:$C$602,3,FALSE)</f>
        <v>#N/A</v>
      </c>
    </row>
    <row r="1288" spans="1:9">
      <c r="A1288" s="13" t="s">
        <v>2581</v>
      </c>
      <c r="B1288" s="14" t="s">
        <v>2582</v>
      </c>
      <c r="C1288" s="13">
        <v>191</v>
      </c>
      <c r="D1288" s="7">
        <f>IFERROR(VLOOKUP(A1288,'1227-29耗量'!$A$1:$C$602,3,FALSE),0)</f>
        <v>0</v>
      </c>
      <c r="E1288" s="7">
        <f t="shared" si="40"/>
        <v>191</v>
      </c>
      <c r="F1288" s="7" t="str">
        <f t="shared" si="41"/>
        <v>錯誤</v>
      </c>
      <c r="G1288" s="7">
        <f>VLOOKUP(A1288,Sheet5!$A$2:$D$415,4,FALSE)</f>
        <v>-30</v>
      </c>
      <c r="H1288" s="7">
        <f>VLOOKUP(A1288,Sheet5!$A$2:$D$415,3,FALSE)</f>
        <v>240</v>
      </c>
      <c r="I1288" s="7" t="e">
        <f>VLOOKUP(A1288,'1201-29周均耗用'!$A$1:$C$602,3,FALSE)</f>
        <v>#N/A</v>
      </c>
    </row>
    <row r="1289" spans="1:9">
      <c r="A1289" s="13" t="s">
        <v>2583</v>
      </c>
      <c r="B1289" s="14" t="s">
        <v>2584</v>
      </c>
      <c r="C1289" s="13">
        <v>0</v>
      </c>
      <c r="D1289" s="7">
        <f>IFERROR(VLOOKUP(A1289,'1227-29耗量'!$A$1:$C$602,3,FALSE),0)</f>
        <v>0</v>
      </c>
      <c r="E1289" s="7">
        <f t="shared" si="40"/>
        <v>0</v>
      </c>
      <c r="F1289" s="7" t="str">
        <f t="shared" si="41"/>
        <v>無資料</v>
      </c>
      <c r="G1289" s="7" t="e">
        <f>VLOOKUP(A1289,Sheet5!$A$2:$D$415,4,FALSE)</f>
        <v>#N/A</v>
      </c>
      <c r="H1289" s="7" t="e">
        <f>VLOOKUP(A1289,Sheet5!$A$2:$D$415,3,FALSE)</f>
        <v>#N/A</v>
      </c>
      <c r="I1289" s="7" t="e">
        <f>VLOOKUP(A1289,'1201-29周均耗用'!$A$1:$C$602,3,FALSE)</f>
        <v>#N/A</v>
      </c>
    </row>
    <row r="1290" spans="1:9">
      <c r="A1290" s="13" t="s">
        <v>2585</v>
      </c>
      <c r="B1290" s="14" t="s">
        <v>2586</v>
      </c>
      <c r="C1290" s="13">
        <v>0</v>
      </c>
      <c r="D1290" s="7">
        <f>IFERROR(VLOOKUP(A1290,'1227-29耗量'!$A$1:$C$602,3,FALSE),0)</f>
        <v>0</v>
      </c>
      <c r="E1290" s="7">
        <f t="shared" si="40"/>
        <v>0</v>
      </c>
      <c r="F1290" s="7" t="str">
        <f t="shared" si="41"/>
        <v>無資料</v>
      </c>
      <c r="G1290" s="7" t="e">
        <f>VLOOKUP(A1290,Sheet5!$A$2:$D$415,4,FALSE)</f>
        <v>#N/A</v>
      </c>
      <c r="H1290" s="7" t="e">
        <f>VLOOKUP(A1290,Sheet5!$A$2:$D$415,3,FALSE)</f>
        <v>#N/A</v>
      </c>
      <c r="I1290" s="7" t="e">
        <f>VLOOKUP(A1290,'1201-29周均耗用'!$A$1:$C$602,3,FALSE)</f>
        <v>#N/A</v>
      </c>
    </row>
    <row r="1291" spans="1:9">
      <c r="A1291" s="13" t="s">
        <v>2587</v>
      </c>
      <c r="B1291" s="14" t="s">
        <v>2588</v>
      </c>
      <c r="C1291" s="13">
        <v>0</v>
      </c>
      <c r="D1291" s="7">
        <f>IFERROR(VLOOKUP(A1291,'1227-29耗量'!$A$1:$C$602,3,FALSE),0)</f>
        <v>0</v>
      </c>
      <c r="E1291" s="7">
        <f t="shared" si="40"/>
        <v>0</v>
      </c>
      <c r="F1291" s="7" t="str">
        <f t="shared" si="41"/>
        <v>無資料</v>
      </c>
      <c r="G1291" s="7" t="e">
        <f>VLOOKUP(A1291,Sheet5!$A$2:$D$415,4,FALSE)</f>
        <v>#N/A</v>
      </c>
      <c r="H1291" s="7" t="e">
        <f>VLOOKUP(A1291,Sheet5!$A$2:$D$415,3,FALSE)</f>
        <v>#N/A</v>
      </c>
      <c r="I1291" s="7" t="e">
        <f>VLOOKUP(A1291,'1201-29周均耗用'!$A$1:$C$602,3,FALSE)</f>
        <v>#N/A</v>
      </c>
    </row>
    <row r="1292" spans="1:9">
      <c r="A1292" s="13" t="s">
        <v>2589</v>
      </c>
      <c r="B1292" s="14" t="s">
        <v>2590</v>
      </c>
      <c r="C1292" s="13">
        <v>4</v>
      </c>
      <c r="D1292" s="7">
        <f>IFERROR(VLOOKUP(A1292,'1227-29耗量'!$A$1:$C$602,3,FALSE),0)</f>
        <v>2</v>
      </c>
      <c r="E1292" s="7">
        <f t="shared" si="40"/>
        <v>2</v>
      </c>
      <c r="F1292" s="7" t="str">
        <f t="shared" si="41"/>
        <v>無資料</v>
      </c>
      <c r="G1292" s="7" t="e">
        <f>VLOOKUP(A1292,Sheet5!$A$2:$D$415,4,FALSE)</f>
        <v>#N/A</v>
      </c>
      <c r="H1292" s="7" t="e">
        <f>VLOOKUP(A1292,Sheet5!$A$2:$D$415,3,FALSE)</f>
        <v>#N/A</v>
      </c>
      <c r="I1292" s="7">
        <f>VLOOKUP(A1292,'1201-29周均耗用'!$A$1:$C$602,3,FALSE)</f>
        <v>2.5</v>
      </c>
    </row>
    <row r="1293" spans="1:9">
      <c r="A1293" s="13" t="s">
        <v>2591</v>
      </c>
      <c r="B1293" s="14" t="s">
        <v>2592</v>
      </c>
      <c r="C1293" s="13">
        <v>100</v>
      </c>
      <c r="D1293" s="7">
        <f>VLOOKUP(A1293,'1227-29耗量'!$A$1:$C$602,3,FALSE)</f>
        <v>10</v>
      </c>
      <c r="E1293" s="7">
        <f t="shared" si="40"/>
        <v>90</v>
      </c>
      <c r="F1293" s="7" t="str">
        <f t="shared" si="41"/>
        <v>錯誤</v>
      </c>
      <c r="G1293" s="7">
        <f>VLOOKUP(A1293,Sheet5!$A$2:$D$415,4,FALSE)</f>
        <v>39</v>
      </c>
      <c r="H1293" s="7">
        <f>VLOOKUP(A1293,Sheet5!$A$2:$D$415,3,FALSE)</f>
        <v>112</v>
      </c>
      <c r="I1293" s="7" t="e">
        <f>VLOOKUP(A1293,'1201-29周均耗用'!$A$1:$C$602,3,FALSE)</f>
        <v>#N/A</v>
      </c>
    </row>
    <row r="1294" spans="1:9">
      <c r="A1294" s="13" t="s">
        <v>2593</v>
      </c>
      <c r="B1294" s="14" t="s">
        <v>2594</v>
      </c>
      <c r="C1294" s="13">
        <v>0</v>
      </c>
      <c r="D1294" s="7">
        <f>IFERROR(VLOOKUP(A1294,'1227-29耗量'!$A$1:$C$602,3,FALSE),0)</f>
        <v>0</v>
      </c>
      <c r="E1294" s="7">
        <f t="shared" si="40"/>
        <v>0</v>
      </c>
      <c r="F1294" s="7" t="str">
        <f t="shared" si="41"/>
        <v>無資料</v>
      </c>
      <c r="G1294" s="7" t="e">
        <f>VLOOKUP(A1294,Sheet5!$A$2:$D$415,4,FALSE)</f>
        <v>#N/A</v>
      </c>
      <c r="H1294" s="7" t="e">
        <f>VLOOKUP(A1294,Sheet5!$A$2:$D$415,3,FALSE)</f>
        <v>#N/A</v>
      </c>
      <c r="I1294" s="7" t="e">
        <f>VLOOKUP(A1294,'1201-29周均耗用'!$A$1:$C$602,3,FALSE)</f>
        <v>#N/A</v>
      </c>
    </row>
    <row r="1295" spans="1:9">
      <c r="A1295" s="13" t="s">
        <v>2595</v>
      </c>
      <c r="B1295" s="14" t="s">
        <v>2596</v>
      </c>
      <c r="C1295" s="13">
        <v>6</v>
      </c>
      <c r="D1295" s="7">
        <f>VLOOKUP(A1295,'1227-29耗量'!$A$1:$C$602,3,FALSE)</f>
        <v>1</v>
      </c>
      <c r="E1295" s="7">
        <f t="shared" si="40"/>
        <v>5</v>
      </c>
      <c r="F1295" s="7" t="str">
        <f t="shared" si="41"/>
        <v>錯誤</v>
      </c>
      <c r="G1295" s="7">
        <f>VLOOKUP(A1295,Sheet5!$A$2:$D$415,4,FALSE)</f>
        <v>3</v>
      </c>
      <c r="H1295" s="7">
        <f>VLOOKUP(A1295,Sheet5!$A$2:$D$415,3,FALSE)</f>
        <v>12</v>
      </c>
      <c r="I1295" s="7">
        <f>VLOOKUP(A1295,'1201-29周均耗用'!$A$1:$C$602,3,FALSE)</f>
        <v>3</v>
      </c>
    </row>
    <row r="1296" spans="1:9">
      <c r="A1296" s="13" t="s">
        <v>2597</v>
      </c>
      <c r="B1296" s="14" t="s">
        <v>2598</v>
      </c>
      <c r="C1296" s="13">
        <v>0</v>
      </c>
      <c r="D1296" s="7">
        <f>IFERROR(VLOOKUP(A1296,'1227-29耗量'!$A$1:$C$602,3,FALSE),0)</f>
        <v>0</v>
      </c>
      <c r="E1296" s="7">
        <f t="shared" si="40"/>
        <v>0</v>
      </c>
      <c r="F1296" s="7" t="str">
        <f t="shared" si="41"/>
        <v>無資料</v>
      </c>
      <c r="G1296" s="7" t="e">
        <f>VLOOKUP(A1296,Sheet5!$A$2:$D$415,4,FALSE)</f>
        <v>#N/A</v>
      </c>
      <c r="H1296" s="7" t="e">
        <f>VLOOKUP(A1296,Sheet5!$A$2:$D$415,3,FALSE)</f>
        <v>#N/A</v>
      </c>
      <c r="I1296" s="7" t="e">
        <f>VLOOKUP(A1296,'1201-29周均耗用'!$A$1:$C$602,3,FALSE)</f>
        <v>#N/A</v>
      </c>
    </row>
    <row r="1297" spans="1:9">
      <c r="A1297" s="13" t="s">
        <v>2599</v>
      </c>
      <c r="B1297" s="14" t="s">
        <v>2600</v>
      </c>
      <c r="C1297" s="13">
        <v>0</v>
      </c>
      <c r="D1297" s="7">
        <f>IFERROR(VLOOKUP(A1297,'1227-29耗量'!$A$1:$C$602,3,FALSE),0)</f>
        <v>0</v>
      </c>
      <c r="E1297" s="7">
        <f t="shared" si="40"/>
        <v>0</v>
      </c>
      <c r="F1297" s="7" t="str">
        <f t="shared" si="41"/>
        <v>無資料</v>
      </c>
      <c r="G1297" s="7" t="e">
        <f>VLOOKUP(A1297,Sheet5!$A$2:$D$415,4,FALSE)</f>
        <v>#N/A</v>
      </c>
      <c r="H1297" s="7" t="e">
        <f>VLOOKUP(A1297,Sheet5!$A$2:$D$415,3,FALSE)</f>
        <v>#N/A</v>
      </c>
      <c r="I1297" s="7" t="e">
        <f>VLOOKUP(A1297,'1201-29周均耗用'!$A$1:$C$602,3,FALSE)</f>
        <v>#N/A</v>
      </c>
    </row>
    <row r="1298" spans="1:9">
      <c r="A1298" s="13" t="s">
        <v>2601</v>
      </c>
      <c r="B1298" s="14" t="s">
        <v>2602</v>
      </c>
      <c r="C1298" s="13">
        <v>101</v>
      </c>
      <c r="D1298" s="7">
        <f>IFERROR(VLOOKUP(A1298,'1227-29耗量'!$A$1:$C$602,3,FALSE),0)</f>
        <v>0</v>
      </c>
      <c r="E1298" s="7">
        <f t="shared" si="40"/>
        <v>101</v>
      </c>
      <c r="F1298" s="7" t="str">
        <f t="shared" si="41"/>
        <v>錯誤</v>
      </c>
      <c r="G1298" s="7">
        <f>VLOOKUP(A1298,Sheet5!$A$2:$D$415,4,FALSE)</f>
        <v>94</v>
      </c>
      <c r="H1298" s="7">
        <f>VLOOKUP(A1298,Sheet5!$A$2:$D$415,3,FALSE)</f>
        <v>80</v>
      </c>
      <c r="I1298" s="7" t="e">
        <f>VLOOKUP(A1298,'1201-29周均耗用'!$A$1:$C$602,3,FALSE)</f>
        <v>#N/A</v>
      </c>
    </row>
    <row r="1299" spans="1:9">
      <c r="A1299" s="13" t="s">
        <v>2603</v>
      </c>
      <c r="B1299" s="14" t="s">
        <v>2604</v>
      </c>
      <c r="C1299" s="13">
        <v>0</v>
      </c>
      <c r="D1299" s="7">
        <f>IFERROR(VLOOKUP(A1299,'1227-29耗量'!$A$1:$C$602,3,FALSE),0)</f>
        <v>0</v>
      </c>
      <c r="E1299" s="7">
        <f t="shared" si="40"/>
        <v>0</v>
      </c>
      <c r="F1299" s="7" t="str">
        <f t="shared" si="41"/>
        <v>無資料</v>
      </c>
      <c r="G1299" s="7" t="e">
        <f>VLOOKUP(A1299,Sheet5!$A$2:$D$415,4,FALSE)</f>
        <v>#N/A</v>
      </c>
      <c r="H1299" s="7" t="e">
        <f>VLOOKUP(A1299,Sheet5!$A$2:$D$415,3,FALSE)</f>
        <v>#N/A</v>
      </c>
      <c r="I1299" s="7" t="e">
        <f>VLOOKUP(A1299,'1201-29周均耗用'!$A$1:$C$602,3,FALSE)</f>
        <v>#N/A</v>
      </c>
    </row>
    <row r="1300" spans="1:9">
      <c r="A1300" s="13" t="s">
        <v>2605</v>
      </c>
      <c r="B1300" s="14" t="s">
        <v>2606</v>
      </c>
      <c r="C1300" s="13">
        <v>810</v>
      </c>
      <c r="D1300" s="7">
        <f>VLOOKUP(A1300,'1227-29耗量'!$A$1:$C$602,3,FALSE)</f>
        <v>58</v>
      </c>
      <c r="E1300" s="7">
        <f t="shared" si="40"/>
        <v>752</v>
      </c>
      <c r="F1300" s="7" t="str">
        <f t="shared" si="41"/>
        <v>錯誤</v>
      </c>
      <c r="G1300" s="7">
        <f>VLOOKUP(A1300,Sheet5!$A$2:$D$415,4,FALSE)</f>
        <v>374</v>
      </c>
      <c r="H1300" s="7">
        <f>VLOOKUP(A1300,Sheet5!$A$2:$D$415,3,FALSE)</f>
        <v>1000</v>
      </c>
      <c r="I1300" s="7" t="e">
        <f>VLOOKUP(A1300,'1201-29周均耗用'!$A$1:$C$602,3,FALSE)</f>
        <v>#N/A</v>
      </c>
    </row>
    <row r="1301" spans="1:9">
      <c r="A1301" s="13" t="s">
        <v>2607</v>
      </c>
      <c r="B1301" s="14" t="s">
        <v>2608</v>
      </c>
      <c r="C1301" s="13">
        <v>0</v>
      </c>
      <c r="D1301" s="7">
        <f>IFERROR(VLOOKUP(A1301,'1227-29耗量'!$A$1:$C$602,3,FALSE),0)</f>
        <v>0</v>
      </c>
      <c r="E1301" s="7">
        <f t="shared" si="40"/>
        <v>0</v>
      </c>
      <c r="F1301" s="7" t="str">
        <f t="shared" si="41"/>
        <v>無資料</v>
      </c>
      <c r="G1301" s="7" t="e">
        <f>VLOOKUP(A1301,Sheet5!$A$2:$D$415,4,FALSE)</f>
        <v>#N/A</v>
      </c>
      <c r="H1301" s="7" t="e">
        <f>VLOOKUP(A1301,Sheet5!$A$2:$D$415,3,FALSE)</f>
        <v>#N/A</v>
      </c>
      <c r="I1301" s="7" t="e">
        <f>VLOOKUP(A1301,'1201-29周均耗用'!$A$1:$C$602,3,FALSE)</f>
        <v>#N/A</v>
      </c>
    </row>
    <row r="1302" spans="1:9">
      <c r="A1302" s="13" t="s">
        <v>2609</v>
      </c>
      <c r="B1302" s="14" t="s">
        <v>2610</v>
      </c>
      <c r="C1302" s="13">
        <v>328</v>
      </c>
      <c r="D1302" s="7">
        <f>VLOOKUP(A1302,'1227-29耗量'!$A$1:$C$602,3,FALSE)</f>
        <v>21</v>
      </c>
      <c r="E1302" s="7">
        <f t="shared" si="40"/>
        <v>307</v>
      </c>
      <c r="F1302" s="7" t="str">
        <f t="shared" si="41"/>
        <v>錯誤</v>
      </c>
      <c r="G1302" s="7">
        <f>VLOOKUP(A1302,Sheet5!$A$2:$D$415,4,FALSE)</f>
        <v>168</v>
      </c>
      <c r="H1302" s="7">
        <f>VLOOKUP(A1302,Sheet5!$A$2:$D$415,3,FALSE)</f>
        <v>280</v>
      </c>
      <c r="I1302" s="7" t="e">
        <f>VLOOKUP(A1302,'1201-29周均耗用'!$A$1:$C$602,3,FALSE)</f>
        <v>#N/A</v>
      </c>
    </row>
    <row r="1303" spans="1:9">
      <c r="A1303" s="13" t="s">
        <v>2611</v>
      </c>
      <c r="B1303" s="14" t="s">
        <v>2612</v>
      </c>
      <c r="C1303" s="13">
        <v>0</v>
      </c>
      <c r="D1303" s="7">
        <f>IFERROR(VLOOKUP(A1303,'1227-29耗量'!$A$1:$C$602,3,FALSE),0)</f>
        <v>0</v>
      </c>
      <c r="E1303" s="7">
        <f t="shared" si="40"/>
        <v>0</v>
      </c>
      <c r="F1303" s="7" t="str">
        <f t="shared" si="41"/>
        <v>無資料</v>
      </c>
      <c r="G1303" s="7" t="e">
        <f>VLOOKUP(A1303,Sheet5!$A$2:$D$415,4,FALSE)</f>
        <v>#N/A</v>
      </c>
      <c r="H1303" s="7" t="e">
        <f>VLOOKUP(A1303,Sheet5!$A$2:$D$415,3,FALSE)</f>
        <v>#N/A</v>
      </c>
      <c r="I1303" s="7">
        <f>VLOOKUP(A1303,'1201-29周均耗用'!$A$1:$C$602,3,FALSE)</f>
        <v>0.2</v>
      </c>
    </row>
    <row r="1304" spans="1:9">
      <c r="A1304" s="13" t="s">
        <v>2613</v>
      </c>
      <c r="B1304" s="14" t="s">
        <v>2614</v>
      </c>
      <c r="C1304" s="13">
        <v>0</v>
      </c>
      <c r="D1304" s="7">
        <f>IFERROR(VLOOKUP(A1304,'1227-29耗量'!$A$1:$C$602,3,FALSE),0)</f>
        <v>0</v>
      </c>
      <c r="E1304" s="7">
        <f t="shared" si="40"/>
        <v>0</v>
      </c>
      <c r="F1304" s="7" t="str">
        <f t="shared" si="41"/>
        <v>無資料</v>
      </c>
      <c r="G1304" s="7" t="e">
        <f>VLOOKUP(A1304,Sheet5!$A$2:$D$415,4,FALSE)</f>
        <v>#N/A</v>
      </c>
      <c r="H1304" s="7" t="e">
        <f>VLOOKUP(A1304,Sheet5!$A$2:$D$415,3,FALSE)</f>
        <v>#N/A</v>
      </c>
      <c r="I1304" s="7" t="e">
        <f>VLOOKUP(A1304,'1201-29周均耗用'!$A$1:$C$602,3,FALSE)</f>
        <v>#N/A</v>
      </c>
    </row>
    <row r="1305" spans="1:9">
      <c r="A1305" s="13" t="s">
        <v>2615</v>
      </c>
      <c r="B1305" s="14" t="s">
        <v>2616</v>
      </c>
      <c r="C1305" s="13">
        <v>56</v>
      </c>
      <c r="D1305" s="7">
        <f>VLOOKUP(A1305,'1227-29耗量'!$A$1:$C$602,3,FALSE)</f>
        <v>4</v>
      </c>
      <c r="E1305" s="7">
        <f t="shared" si="40"/>
        <v>52</v>
      </c>
      <c r="F1305" s="7" t="str">
        <f t="shared" si="41"/>
        <v>錯誤</v>
      </c>
      <c r="G1305" s="7">
        <f>VLOOKUP(A1305,Sheet5!$A$2:$D$415,4,FALSE)</f>
        <v>24</v>
      </c>
      <c r="H1305" s="7">
        <f>VLOOKUP(A1305,Sheet5!$A$2:$D$415,3,FALSE)</f>
        <v>24</v>
      </c>
      <c r="I1305" s="7" t="e">
        <f>VLOOKUP(A1305,'1201-29周均耗用'!$A$1:$C$602,3,FALSE)</f>
        <v>#N/A</v>
      </c>
    </row>
    <row r="1306" spans="1:9">
      <c r="A1306" s="13" t="s">
        <v>2617</v>
      </c>
      <c r="B1306" s="14" t="s">
        <v>2618</v>
      </c>
      <c r="C1306" s="13">
        <v>0</v>
      </c>
      <c r="D1306" s="7">
        <f>IFERROR(VLOOKUP(A1306,'1227-29耗量'!$A$1:$C$602,3,FALSE),0)</f>
        <v>0</v>
      </c>
      <c r="E1306" s="7">
        <f t="shared" si="40"/>
        <v>0</v>
      </c>
      <c r="F1306" s="7" t="str">
        <f t="shared" si="41"/>
        <v>無資料</v>
      </c>
      <c r="G1306" s="7" t="e">
        <f>VLOOKUP(A1306,Sheet5!$A$2:$D$415,4,FALSE)</f>
        <v>#N/A</v>
      </c>
      <c r="H1306" s="7" t="e">
        <f>VLOOKUP(A1306,Sheet5!$A$2:$D$415,3,FALSE)</f>
        <v>#N/A</v>
      </c>
      <c r="I1306" s="7" t="e">
        <f>VLOOKUP(A1306,'1201-29周均耗用'!$A$1:$C$602,3,FALSE)</f>
        <v>#N/A</v>
      </c>
    </row>
    <row r="1307" spans="1:9">
      <c r="A1307" s="13" t="s">
        <v>2619</v>
      </c>
      <c r="B1307" s="14" t="s">
        <v>2620</v>
      </c>
      <c r="C1307" s="13">
        <v>955</v>
      </c>
      <c r="D1307" s="7">
        <f>IFERROR(VLOOKUP(A1307,'1227-29耗量'!$A$1:$C$602,3,FALSE),0)</f>
        <v>28</v>
      </c>
      <c r="E1307" s="7">
        <f t="shared" si="40"/>
        <v>927</v>
      </c>
      <c r="F1307" s="7" t="str">
        <f t="shared" si="41"/>
        <v>無資料</v>
      </c>
      <c r="G1307" s="7" t="e">
        <f>VLOOKUP(A1307,Sheet5!$A$2:$D$415,4,FALSE)</f>
        <v>#N/A</v>
      </c>
      <c r="H1307" s="7" t="e">
        <f>VLOOKUP(A1307,Sheet5!$A$2:$D$415,3,FALSE)</f>
        <v>#N/A</v>
      </c>
      <c r="I1307" s="7" t="e">
        <f>VLOOKUP(A1307,'1201-29周均耗用'!$A$1:$C$602,3,FALSE)</f>
        <v>#N/A</v>
      </c>
    </row>
    <row r="1308" spans="1:9">
      <c r="A1308" s="13" t="s">
        <v>2621</v>
      </c>
      <c r="B1308" s="14" t="s">
        <v>2622</v>
      </c>
      <c r="C1308" s="13">
        <v>692</v>
      </c>
      <c r="D1308" s="7">
        <f>IFERROR(VLOOKUP(A1308,'1227-29耗量'!$A$1:$C$602,3,FALSE),0)</f>
        <v>8</v>
      </c>
      <c r="E1308" s="7">
        <f t="shared" si="40"/>
        <v>684</v>
      </c>
      <c r="F1308" s="7" t="str">
        <f t="shared" si="41"/>
        <v>無資料</v>
      </c>
      <c r="G1308" s="7" t="e">
        <f>VLOOKUP(A1308,Sheet5!$A$2:$D$415,4,FALSE)</f>
        <v>#N/A</v>
      </c>
      <c r="H1308" s="7" t="e">
        <f>VLOOKUP(A1308,Sheet5!$A$2:$D$415,3,FALSE)</f>
        <v>#N/A</v>
      </c>
      <c r="I1308" s="7" t="e">
        <f>VLOOKUP(A1308,'1201-29周均耗用'!$A$1:$C$602,3,FALSE)</f>
        <v>#N/A</v>
      </c>
    </row>
    <row r="1309" spans="1:9">
      <c r="A1309" s="13" t="s">
        <v>2623</v>
      </c>
      <c r="B1309" s="14" t="s">
        <v>2624</v>
      </c>
      <c r="C1309" s="13">
        <v>93</v>
      </c>
      <c r="D1309" s="7">
        <f>VLOOKUP(A1309,'1227-29耗量'!$A$1:$C$602,3,FALSE)</f>
        <v>9</v>
      </c>
      <c r="E1309" s="7">
        <f t="shared" si="40"/>
        <v>84</v>
      </c>
      <c r="F1309" s="7" t="str">
        <f t="shared" si="41"/>
        <v>錯誤</v>
      </c>
      <c r="G1309" s="7">
        <f>VLOOKUP(A1309,Sheet5!$A$2:$D$415,4,FALSE)</f>
        <v>61</v>
      </c>
      <c r="H1309" s="7">
        <f>VLOOKUP(A1309,Sheet5!$A$2:$D$415,3,FALSE)</f>
        <v>80</v>
      </c>
      <c r="I1309" s="7">
        <f>VLOOKUP(A1309,'1201-29周均耗用'!$A$1:$C$602,3,FALSE)</f>
        <v>39</v>
      </c>
    </row>
    <row r="1310" spans="1:9">
      <c r="A1310" s="13" t="s">
        <v>2625</v>
      </c>
      <c r="B1310" s="14" t="s">
        <v>2626</v>
      </c>
      <c r="C1310" s="13">
        <v>2094</v>
      </c>
      <c r="D1310" s="7">
        <f>VLOOKUP(A1310,'1227-29耗量'!$A$1:$C$602,3,FALSE)</f>
        <v>51</v>
      </c>
      <c r="E1310" s="7">
        <f t="shared" si="40"/>
        <v>2043</v>
      </c>
      <c r="F1310" s="7" t="str">
        <f t="shared" si="41"/>
        <v>錯誤</v>
      </c>
      <c r="G1310" s="7">
        <f>VLOOKUP(A1310,Sheet5!$A$2:$D$415,4,FALSE)</f>
        <v>867</v>
      </c>
      <c r="H1310" s="7">
        <f>VLOOKUP(A1310,Sheet5!$A$2:$D$415,3,FALSE)</f>
        <v>1500</v>
      </c>
      <c r="I1310" s="7" t="e">
        <f>VLOOKUP(A1310,'1201-29周均耗用'!$A$1:$C$602,3,FALSE)</f>
        <v>#N/A</v>
      </c>
    </row>
    <row r="1311" spans="1:9">
      <c r="A1311" s="13" t="s">
        <v>2627</v>
      </c>
      <c r="B1311" s="14" t="s">
        <v>2628</v>
      </c>
      <c r="C1311" s="13">
        <v>0</v>
      </c>
      <c r="D1311" s="7">
        <f>IFERROR(VLOOKUP(A1311,'1227-29耗量'!$A$1:$C$602,3,FALSE),0)</f>
        <v>0</v>
      </c>
      <c r="E1311" s="7">
        <f t="shared" si="40"/>
        <v>0</v>
      </c>
      <c r="F1311" s="7" t="str">
        <f t="shared" si="41"/>
        <v>無資料</v>
      </c>
      <c r="G1311" s="7" t="e">
        <f>VLOOKUP(A1311,Sheet5!$A$2:$D$415,4,FALSE)</f>
        <v>#N/A</v>
      </c>
      <c r="H1311" s="7" t="e">
        <f>VLOOKUP(A1311,Sheet5!$A$2:$D$415,3,FALSE)</f>
        <v>#N/A</v>
      </c>
      <c r="I1311" s="7" t="e">
        <f>VLOOKUP(A1311,'1201-29周均耗用'!$A$1:$C$602,3,FALSE)</f>
        <v>#N/A</v>
      </c>
    </row>
    <row r="1312" spans="1:9">
      <c r="A1312" s="13" t="s">
        <v>2629</v>
      </c>
      <c r="B1312" s="14" t="s">
        <v>2630</v>
      </c>
      <c r="C1312" s="13">
        <v>0</v>
      </c>
      <c r="D1312" s="7">
        <f>IFERROR(VLOOKUP(A1312,'1227-29耗量'!$A$1:$C$602,3,FALSE),0)</f>
        <v>0</v>
      </c>
      <c r="E1312" s="7">
        <f t="shared" si="40"/>
        <v>0</v>
      </c>
      <c r="F1312" s="7" t="str">
        <f t="shared" si="41"/>
        <v>無資料</v>
      </c>
      <c r="G1312" s="7" t="e">
        <f>VLOOKUP(A1312,Sheet5!$A$2:$D$415,4,FALSE)</f>
        <v>#N/A</v>
      </c>
      <c r="H1312" s="7" t="e">
        <f>VLOOKUP(A1312,Sheet5!$A$2:$D$415,3,FALSE)</f>
        <v>#N/A</v>
      </c>
      <c r="I1312" s="7" t="e">
        <f>VLOOKUP(A1312,'1201-29周均耗用'!$A$1:$C$602,3,FALSE)</f>
        <v>#N/A</v>
      </c>
    </row>
    <row r="1313" spans="1:9">
      <c r="A1313" s="13" t="s">
        <v>2631</v>
      </c>
      <c r="B1313" s="14" t="s">
        <v>2632</v>
      </c>
      <c r="C1313" s="13">
        <v>37</v>
      </c>
      <c r="D1313" s="7">
        <f>IFERROR(VLOOKUP(A1313,'1227-29耗量'!$A$1:$C$602,3,FALSE),0)</f>
        <v>0</v>
      </c>
      <c r="E1313" s="7">
        <f t="shared" si="40"/>
        <v>37</v>
      </c>
      <c r="F1313" s="7" t="str">
        <f t="shared" si="41"/>
        <v>無資料</v>
      </c>
      <c r="G1313" s="7" t="e">
        <f>VLOOKUP(A1313,Sheet5!$A$2:$D$415,4,FALSE)</f>
        <v>#N/A</v>
      </c>
      <c r="H1313" s="7" t="e">
        <f>VLOOKUP(A1313,Sheet5!$A$2:$D$415,3,FALSE)</f>
        <v>#N/A</v>
      </c>
      <c r="I1313" s="7" t="e">
        <f>VLOOKUP(A1313,'1201-29周均耗用'!$A$1:$C$602,3,FALSE)</f>
        <v>#N/A</v>
      </c>
    </row>
    <row r="1314" spans="1:9">
      <c r="A1314" s="13" t="s">
        <v>2633</v>
      </c>
      <c r="B1314" s="14" t="s">
        <v>2634</v>
      </c>
      <c r="C1314" s="13">
        <v>6</v>
      </c>
      <c r="D1314" s="7">
        <f>IFERROR(VLOOKUP(A1314,'1227-29耗量'!$A$1:$C$602,3,FALSE),0)</f>
        <v>0</v>
      </c>
      <c r="E1314" s="7">
        <f t="shared" si="40"/>
        <v>6</v>
      </c>
      <c r="F1314" s="7" t="str">
        <f t="shared" si="41"/>
        <v>錯誤</v>
      </c>
      <c r="G1314" s="7">
        <f>VLOOKUP(A1314,Sheet5!$A$2:$D$415,4,FALSE)</f>
        <v>-1</v>
      </c>
      <c r="H1314" s="7">
        <f>VLOOKUP(A1314,Sheet5!$A$2:$D$415,3,FALSE)</f>
        <v>20</v>
      </c>
      <c r="I1314" s="7">
        <f>VLOOKUP(A1314,'1201-29周均耗用'!$A$1:$C$602,3,FALSE)</f>
        <v>5.2</v>
      </c>
    </row>
    <row r="1315" spans="1:9">
      <c r="A1315" s="13" t="s">
        <v>2635</v>
      </c>
      <c r="B1315" s="14" t="s">
        <v>2636</v>
      </c>
      <c r="C1315" s="13">
        <v>0</v>
      </c>
      <c r="D1315" s="7">
        <f>IFERROR(VLOOKUP(A1315,'1227-29耗量'!$A$1:$C$602,3,FALSE),0)</f>
        <v>2</v>
      </c>
      <c r="E1315" s="7">
        <f t="shared" si="40"/>
        <v>-2</v>
      </c>
      <c r="F1315" s="7" t="str">
        <f t="shared" si="41"/>
        <v>無資料</v>
      </c>
      <c r="G1315" s="7" t="e">
        <f>VLOOKUP(A1315,Sheet5!$A$2:$D$415,4,FALSE)</f>
        <v>#N/A</v>
      </c>
      <c r="H1315" s="7" t="e">
        <f>VLOOKUP(A1315,Sheet5!$A$2:$D$415,3,FALSE)</f>
        <v>#N/A</v>
      </c>
      <c r="I1315" s="7">
        <f>VLOOKUP(A1315,'1201-29周均耗用'!$A$1:$C$602,3,FALSE)</f>
        <v>18.8</v>
      </c>
    </row>
    <row r="1316" spans="1:9">
      <c r="A1316" s="13" t="s">
        <v>2637</v>
      </c>
      <c r="B1316" s="14" t="s">
        <v>2638</v>
      </c>
      <c r="C1316" s="13">
        <v>0</v>
      </c>
      <c r="D1316" s="7">
        <f>IFERROR(VLOOKUP(A1316,'1227-29耗量'!$A$1:$C$602,3,FALSE),0)</f>
        <v>6</v>
      </c>
      <c r="E1316" s="7">
        <f t="shared" si="40"/>
        <v>-6</v>
      </c>
      <c r="F1316" s="7" t="str">
        <f t="shared" si="41"/>
        <v>無資料</v>
      </c>
      <c r="G1316" s="7" t="e">
        <f>VLOOKUP(A1316,Sheet5!$A$2:$D$415,4,FALSE)</f>
        <v>#N/A</v>
      </c>
      <c r="H1316" s="7" t="e">
        <f>VLOOKUP(A1316,Sheet5!$A$2:$D$415,3,FALSE)</f>
        <v>#N/A</v>
      </c>
      <c r="I1316" s="7" t="e">
        <f>VLOOKUP(A1316,'1201-29周均耗用'!$A$1:$C$602,3,FALSE)</f>
        <v>#N/A</v>
      </c>
    </row>
    <row r="1317" spans="1:9">
      <c r="A1317" s="13" t="s">
        <v>2639</v>
      </c>
      <c r="B1317" s="14" t="s">
        <v>2640</v>
      </c>
      <c r="C1317" s="13">
        <v>114</v>
      </c>
      <c r="D1317" s="7">
        <f>VLOOKUP(A1317,'1227-29耗量'!$A$1:$C$602,3,FALSE)</f>
        <v>9</v>
      </c>
      <c r="E1317" s="7">
        <f t="shared" si="40"/>
        <v>105</v>
      </c>
      <c r="F1317" s="7" t="str">
        <f t="shared" si="41"/>
        <v>錯誤</v>
      </c>
      <c r="G1317" s="7">
        <f>VLOOKUP(A1317,Sheet5!$A$2:$D$415,4,FALSE)</f>
        <v>75</v>
      </c>
      <c r="H1317" s="7">
        <f>VLOOKUP(A1317,Sheet5!$A$2:$D$415,3,FALSE)</f>
        <v>190</v>
      </c>
      <c r="I1317" s="7">
        <f>VLOOKUP(A1317,'1201-29周均耗用'!$A$1:$C$602,3,FALSE)</f>
        <v>53.5</v>
      </c>
    </row>
    <row r="1318" spans="1:9">
      <c r="A1318" s="13" t="s">
        <v>2641</v>
      </c>
      <c r="B1318" s="14" t="s">
        <v>2642</v>
      </c>
      <c r="C1318" s="13">
        <v>50</v>
      </c>
      <c r="D1318" s="7">
        <f>IFERROR(VLOOKUP(A1318,'1227-29耗量'!$A$1:$C$602,3,FALSE),0)</f>
        <v>2</v>
      </c>
      <c r="E1318" s="7">
        <f t="shared" si="40"/>
        <v>48</v>
      </c>
      <c r="F1318" s="7" t="str">
        <f t="shared" si="41"/>
        <v>無資料</v>
      </c>
      <c r="G1318" s="7" t="e">
        <f>VLOOKUP(A1318,Sheet5!$A$2:$D$415,4,FALSE)</f>
        <v>#N/A</v>
      </c>
      <c r="H1318" s="7" t="e">
        <f>VLOOKUP(A1318,Sheet5!$A$2:$D$415,3,FALSE)</f>
        <v>#N/A</v>
      </c>
      <c r="I1318" s="7" t="e">
        <f>VLOOKUP(A1318,'1201-29周均耗用'!$A$1:$C$602,3,FALSE)</f>
        <v>#N/A</v>
      </c>
    </row>
    <row r="1319" spans="1:9">
      <c r="A1319" s="13" t="s">
        <v>2643</v>
      </c>
      <c r="B1319" s="14" t="s">
        <v>2644</v>
      </c>
      <c r="C1319" s="13">
        <v>5</v>
      </c>
      <c r="D1319" s="7">
        <f>IFERROR(VLOOKUP(A1319,'1227-29耗量'!$A$1:$C$602,3,FALSE),0)</f>
        <v>0</v>
      </c>
      <c r="E1319" s="7">
        <f t="shared" si="40"/>
        <v>5</v>
      </c>
      <c r="F1319" s="7" t="str">
        <f t="shared" si="41"/>
        <v>無資料</v>
      </c>
      <c r="G1319" s="7" t="e">
        <f>VLOOKUP(A1319,Sheet5!$A$2:$D$415,4,FALSE)</f>
        <v>#N/A</v>
      </c>
      <c r="H1319" s="7" t="e">
        <f>VLOOKUP(A1319,Sheet5!$A$2:$D$415,3,FALSE)</f>
        <v>#N/A</v>
      </c>
      <c r="I1319" s="7" t="e">
        <f>VLOOKUP(A1319,'1201-29周均耗用'!$A$1:$C$602,3,FALSE)</f>
        <v>#N/A</v>
      </c>
    </row>
    <row r="1320" spans="1:9">
      <c r="A1320" s="13" t="s">
        <v>2645</v>
      </c>
      <c r="B1320" s="14" t="s">
        <v>2646</v>
      </c>
      <c r="C1320" s="13">
        <v>2</v>
      </c>
      <c r="D1320" s="7">
        <f>IFERROR(VLOOKUP(A1320,'1227-29耗量'!$A$1:$C$602,3,FALSE),0)</f>
        <v>0</v>
      </c>
      <c r="E1320" s="7">
        <f t="shared" si="40"/>
        <v>2</v>
      </c>
      <c r="F1320" s="7" t="str">
        <f t="shared" si="41"/>
        <v>錯誤</v>
      </c>
      <c r="G1320" s="7">
        <f>VLOOKUP(A1320,Sheet5!$A$2:$D$415,4,FALSE)</f>
        <v>1</v>
      </c>
      <c r="H1320" s="7">
        <f>VLOOKUP(A1320,Sheet5!$A$2:$D$415,3,FALSE)</f>
        <v>1</v>
      </c>
      <c r="I1320" s="7">
        <f>VLOOKUP(A1320,'1201-29周均耗用'!$A$1:$C$602,3,FALSE)</f>
        <v>0.5</v>
      </c>
    </row>
    <row r="1321" spans="1:9">
      <c r="A1321" s="13" t="s">
        <v>2647</v>
      </c>
      <c r="B1321" s="14" t="s">
        <v>2648</v>
      </c>
      <c r="C1321" s="13">
        <v>2</v>
      </c>
      <c r="D1321" s="7">
        <f>IFERROR(VLOOKUP(A1321,'1227-29耗量'!$A$1:$C$602,3,FALSE),0)</f>
        <v>0</v>
      </c>
      <c r="E1321" s="7">
        <f t="shared" si="40"/>
        <v>2</v>
      </c>
      <c r="F1321" s="7" t="str">
        <f t="shared" si="41"/>
        <v>OK</v>
      </c>
      <c r="G1321" s="7">
        <f>VLOOKUP(A1321,Sheet5!$A$2:$D$415,4,FALSE)</f>
        <v>2</v>
      </c>
      <c r="H1321" s="7">
        <f>VLOOKUP(A1321,Sheet5!$A$2:$D$415,3,FALSE)</f>
        <v>10</v>
      </c>
      <c r="I1321" s="7">
        <f>VLOOKUP(A1321,'1201-29周均耗用'!$A$1:$C$602,3,FALSE)</f>
        <v>3.2</v>
      </c>
    </row>
    <row r="1322" spans="1:9">
      <c r="A1322" s="13" t="s">
        <v>2649</v>
      </c>
      <c r="B1322" s="14" t="s">
        <v>2650</v>
      </c>
      <c r="C1322" s="13">
        <v>1146</v>
      </c>
      <c r="D1322" s="7">
        <f>IFERROR(VLOOKUP(A1322,'1227-29耗量'!$A$1:$C$602,3,FALSE),0)</f>
        <v>17</v>
      </c>
      <c r="E1322" s="7">
        <f t="shared" si="40"/>
        <v>1129</v>
      </c>
      <c r="F1322" s="7" t="str">
        <f t="shared" si="41"/>
        <v>無資料</v>
      </c>
      <c r="G1322" s="7" t="e">
        <f>VLOOKUP(A1322,Sheet5!$A$2:$D$415,4,FALSE)</f>
        <v>#N/A</v>
      </c>
      <c r="H1322" s="7" t="e">
        <f>VLOOKUP(A1322,Sheet5!$A$2:$D$415,3,FALSE)</f>
        <v>#N/A</v>
      </c>
      <c r="I1322" s="7" t="e">
        <f>VLOOKUP(A1322,'1201-29周均耗用'!$A$1:$C$602,3,FALSE)</f>
        <v>#N/A</v>
      </c>
    </row>
    <row r="1323" spans="1:9">
      <c r="A1323" s="13" t="s">
        <v>2651</v>
      </c>
      <c r="B1323" s="14" t="s">
        <v>2652</v>
      </c>
      <c r="C1323" s="13">
        <v>2</v>
      </c>
      <c r="D1323" s="7">
        <f>IFERROR(VLOOKUP(A1323,'1227-29耗量'!$A$1:$C$602,3,FALSE),0)</f>
        <v>0</v>
      </c>
      <c r="E1323" s="7">
        <f t="shared" si="40"/>
        <v>2</v>
      </c>
      <c r="F1323" s="7" t="str">
        <f t="shared" si="41"/>
        <v>錯誤</v>
      </c>
      <c r="G1323" s="7">
        <f>VLOOKUP(A1323,Sheet5!$A$2:$D$415,4,FALSE)</f>
        <v>1</v>
      </c>
      <c r="H1323" s="7">
        <f>VLOOKUP(A1323,Sheet5!$A$2:$D$415,3,FALSE)</f>
        <v>2</v>
      </c>
      <c r="I1323" s="7">
        <f>VLOOKUP(A1323,'1201-29周均耗用'!$A$1:$C$602,3,FALSE)</f>
        <v>0.5</v>
      </c>
    </row>
    <row r="1324" spans="1:9">
      <c r="A1324" s="13" t="s">
        <v>2653</v>
      </c>
      <c r="B1324" s="14" t="s">
        <v>2654</v>
      </c>
      <c r="C1324" s="13">
        <v>510</v>
      </c>
      <c r="D1324" s="7">
        <f>IFERROR(VLOOKUP(A1324,'1227-29耗量'!$A$1:$C$602,3,FALSE),0)</f>
        <v>6</v>
      </c>
      <c r="E1324" s="7">
        <f t="shared" si="40"/>
        <v>504</v>
      </c>
      <c r="F1324" s="7" t="str">
        <f t="shared" si="41"/>
        <v>無資料</v>
      </c>
      <c r="G1324" s="7" t="e">
        <f>VLOOKUP(A1324,Sheet5!$A$2:$D$415,4,FALSE)</f>
        <v>#N/A</v>
      </c>
      <c r="H1324" s="7" t="e">
        <f>VLOOKUP(A1324,Sheet5!$A$2:$D$415,3,FALSE)</f>
        <v>#N/A</v>
      </c>
      <c r="I1324" s="7" t="e">
        <f>VLOOKUP(A1324,'1201-29周均耗用'!$A$1:$C$602,3,FALSE)</f>
        <v>#N/A</v>
      </c>
    </row>
    <row r="1325" spans="1:9">
      <c r="A1325" s="13" t="s">
        <v>2655</v>
      </c>
      <c r="B1325" s="14" t="s">
        <v>2656</v>
      </c>
      <c r="C1325" s="13">
        <v>534</v>
      </c>
      <c r="D1325" s="7">
        <f>IFERROR(VLOOKUP(A1325,'1227-29耗量'!$A$1:$C$602,3,FALSE),0)</f>
        <v>7</v>
      </c>
      <c r="E1325" s="7">
        <f t="shared" si="40"/>
        <v>527</v>
      </c>
      <c r="F1325" s="7" t="str">
        <f t="shared" si="41"/>
        <v>無資料</v>
      </c>
      <c r="G1325" s="7" t="e">
        <f>VLOOKUP(A1325,Sheet5!$A$2:$D$415,4,FALSE)</f>
        <v>#N/A</v>
      </c>
      <c r="H1325" s="7" t="e">
        <f>VLOOKUP(A1325,Sheet5!$A$2:$D$415,3,FALSE)</f>
        <v>#N/A</v>
      </c>
      <c r="I1325" s="7" t="e">
        <f>VLOOKUP(A1325,'1201-29周均耗用'!$A$1:$C$602,3,FALSE)</f>
        <v>#N/A</v>
      </c>
    </row>
    <row r="1326" spans="1:9">
      <c r="A1326" s="13" t="s">
        <v>2657</v>
      </c>
      <c r="B1326" s="14" t="s">
        <v>2658</v>
      </c>
      <c r="C1326" s="13">
        <v>281</v>
      </c>
      <c r="D1326" s="7">
        <f>VLOOKUP(A1326,'1227-29耗量'!$A$1:$C$602,3,FALSE)</f>
        <v>4</v>
      </c>
      <c r="E1326" s="7">
        <f t="shared" si="40"/>
        <v>277</v>
      </c>
      <c r="F1326" s="7" t="str">
        <f t="shared" si="41"/>
        <v>錯誤</v>
      </c>
      <c r="G1326" s="7">
        <f>VLOOKUP(A1326,Sheet5!$A$2:$D$415,4,FALSE)</f>
        <v>126</v>
      </c>
      <c r="H1326" s="7">
        <f>VLOOKUP(A1326,Sheet5!$A$2:$D$415,3,FALSE)</f>
        <v>100</v>
      </c>
      <c r="I1326" s="7">
        <f>VLOOKUP(A1326,'1201-29周均耗用'!$A$1:$C$602,3,FALSE)</f>
        <v>19.2</v>
      </c>
    </row>
    <row r="1327" spans="1:9">
      <c r="A1327" s="13" t="s">
        <v>2659</v>
      </c>
      <c r="B1327" s="14" t="s">
        <v>2660</v>
      </c>
      <c r="C1327" s="13">
        <v>321</v>
      </c>
      <c r="D1327" s="7">
        <f>IFERROR(VLOOKUP(A1327,'1227-29耗量'!$A$1:$C$602,3,FALSE),0)</f>
        <v>6</v>
      </c>
      <c r="E1327" s="7">
        <f t="shared" si="40"/>
        <v>315</v>
      </c>
      <c r="F1327" s="7" t="str">
        <f t="shared" si="41"/>
        <v>無資料</v>
      </c>
      <c r="G1327" s="7" t="e">
        <f>VLOOKUP(A1327,Sheet5!$A$2:$D$415,4,FALSE)</f>
        <v>#N/A</v>
      </c>
      <c r="H1327" s="7" t="e">
        <f>VLOOKUP(A1327,Sheet5!$A$2:$D$415,3,FALSE)</f>
        <v>#N/A</v>
      </c>
      <c r="I1327" s="7" t="e">
        <f>VLOOKUP(A1327,'1201-29周均耗用'!$A$1:$C$602,3,FALSE)</f>
        <v>#N/A</v>
      </c>
    </row>
    <row r="1328" spans="1:9">
      <c r="A1328" s="13" t="s">
        <v>2661</v>
      </c>
      <c r="B1328" s="14" t="s">
        <v>2662</v>
      </c>
      <c r="C1328" s="13">
        <v>16</v>
      </c>
      <c r="D1328" s="7">
        <f>IFERROR(VLOOKUP(A1328,'1227-29耗量'!$A$1:$C$602,3,FALSE),0)</f>
        <v>0</v>
      </c>
      <c r="E1328" s="7">
        <f t="shared" si="40"/>
        <v>16</v>
      </c>
      <c r="F1328" s="7" t="str">
        <f t="shared" si="41"/>
        <v>錯誤</v>
      </c>
      <c r="G1328" s="7">
        <f>VLOOKUP(A1328,Sheet5!$A$2:$D$415,4,FALSE)</f>
        <v>6</v>
      </c>
      <c r="H1328" s="7">
        <f>VLOOKUP(A1328,Sheet5!$A$2:$D$415,3,FALSE)</f>
        <v>10</v>
      </c>
      <c r="I1328" s="7">
        <f>VLOOKUP(A1328,'1201-29周均耗用'!$A$1:$C$602,3,FALSE)</f>
        <v>1.8</v>
      </c>
    </row>
    <row r="1329" spans="1:9">
      <c r="A1329" s="13" t="s">
        <v>2663</v>
      </c>
      <c r="B1329" s="14" t="s">
        <v>2664</v>
      </c>
      <c r="C1329" s="13">
        <v>309</v>
      </c>
      <c r="D1329" s="7">
        <f>VLOOKUP(A1329,'1227-29耗量'!$A$1:$C$602,3,FALSE)</f>
        <v>6</v>
      </c>
      <c r="E1329" s="7">
        <f t="shared" si="40"/>
        <v>303</v>
      </c>
      <c r="F1329" s="7" t="str">
        <f t="shared" si="41"/>
        <v>錯誤</v>
      </c>
      <c r="G1329" s="7">
        <f>VLOOKUP(A1329,Sheet5!$A$2:$D$415,4,FALSE)</f>
        <v>119</v>
      </c>
      <c r="H1329" s="7">
        <f>VLOOKUP(A1329,Sheet5!$A$2:$D$415,3,FALSE)</f>
        <v>280</v>
      </c>
      <c r="I1329" s="7" t="e">
        <f>VLOOKUP(A1329,'1201-29周均耗用'!$A$1:$C$602,3,FALSE)</f>
        <v>#N/A</v>
      </c>
    </row>
    <row r="1330" spans="1:9">
      <c r="A1330" s="13" t="s">
        <v>2665</v>
      </c>
      <c r="B1330" s="14" t="s">
        <v>2666</v>
      </c>
      <c r="C1330" s="13">
        <v>20</v>
      </c>
      <c r="D1330" s="7">
        <f>VLOOKUP(A1330,'1227-29耗量'!$A$1:$C$602,3,FALSE)</f>
        <v>5</v>
      </c>
      <c r="E1330" s="7">
        <f t="shared" si="40"/>
        <v>15</v>
      </c>
      <c r="F1330" s="7" t="str">
        <f t="shared" si="41"/>
        <v>OK</v>
      </c>
      <c r="G1330" s="7">
        <f>VLOOKUP(A1330,Sheet5!$A$2:$D$415,4,FALSE)</f>
        <v>15</v>
      </c>
      <c r="H1330" s="7">
        <f>VLOOKUP(A1330,Sheet5!$A$2:$D$415,3,FALSE)</f>
        <v>30</v>
      </c>
      <c r="I1330" s="7">
        <f>VLOOKUP(A1330,'1201-29周均耗用'!$A$1:$C$602,3,FALSE)</f>
        <v>7.2</v>
      </c>
    </row>
    <row r="1331" spans="1:9">
      <c r="A1331" s="13" t="s">
        <v>2667</v>
      </c>
      <c r="B1331" s="14" t="s">
        <v>2668</v>
      </c>
      <c r="C1331" s="13">
        <v>53</v>
      </c>
      <c r="D1331" s="7">
        <f>IFERROR(VLOOKUP(A1331,'1227-29耗量'!$A$1:$C$602,3,FALSE),0)</f>
        <v>0</v>
      </c>
      <c r="E1331" s="7">
        <f t="shared" si="40"/>
        <v>53</v>
      </c>
      <c r="F1331" s="7" t="str">
        <f t="shared" si="41"/>
        <v>錯誤</v>
      </c>
      <c r="G1331" s="7">
        <f>VLOOKUP(A1331,Sheet5!$A$2:$D$415,4,FALSE)</f>
        <v>9</v>
      </c>
      <c r="H1331" s="7">
        <f>VLOOKUP(A1331,Sheet5!$A$2:$D$415,3,FALSE)</f>
        <v>30</v>
      </c>
      <c r="I1331" s="7" t="e">
        <f>VLOOKUP(A1331,'1201-29周均耗用'!$A$1:$C$602,3,FALSE)</f>
        <v>#N/A</v>
      </c>
    </row>
  </sheetData>
  <autoFilter ref="A1:H1331">
    <extLst/>
  </autoFilter>
  <conditionalFormatting sqref="F$1:F$1048576">
    <cfRule type="containsText" dxfId="0" priority="2" operator="between" text="錯誤">
      <formula>NOT(ISERROR(SEARCH("錯誤",F1)))</formula>
    </cfRule>
  </conditionalFormatting>
  <conditionalFormatting sqref="G$1:G$1048576">
    <cfRule type="cellIs" dxfId="1" priority="1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5"/>
  <sheetViews>
    <sheetView workbookViewId="0">
      <selection activeCell="C8" sqref="C8"/>
    </sheetView>
  </sheetViews>
  <sheetFormatPr defaultColWidth="9" defaultRowHeight="14.25" outlineLevelCol="3"/>
  <cols>
    <col min="1" max="1" width="9.75" style="7" customWidth="1"/>
    <col min="2" max="2" width="43.625" style="8" customWidth="1"/>
    <col min="3" max="4" width="7.625" style="7" customWidth="1"/>
    <col min="5" max="16384" width="9" style="7"/>
  </cols>
  <sheetData>
    <row r="1" spans="1:4">
      <c r="A1" s="9" t="s">
        <v>0</v>
      </c>
      <c r="B1" s="10" t="s">
        <v>2669</v>
      </c>
      <c r="C1" s="9" t="s">
        <v>2670</v>
      </c>
      <c r="D1" s="9" t="s">
        <v>2671</v>
      </c>
    </row>
    <row r="2" spans="1:4">
      <c r="A2" s="11" t="s">
        <v>13</v>
      </c>
      <c r="B2" s="12" t="s">
        <v>14</v>
      </c>
      <c r="C2" s="11">
        <v>12</v>
      </c>
      <c r="D2" s="11">
        <v>7</v>
      </c>
    </row>
    <row r="3" spans="1:4">
      <c r="A3" s="11" t="s">
        <v>23</v>
      </c>
      <c r="B3" s="12" t="s">
        <v>24</v>
      </c>
      <c r="C3" s="11">
        <v>20</v>
      </c>
      <c r="D3" s="11">
        <v>16</v>
      </c>
    </row>
    <row r="4" spans="1:4">
      <c r="A4" s="11" t="s">
        <v>35</v>
      </c>
      <c r="B4" s="12" t="s">
        <v>36</v>
      </c>
      <c r="C4" s="11">
        <v>10</v>
      </c>
      <c r="D4" s="11">
        <v>10</v>
      </c>
    </row>
    <row r="5" spans="1:4">
      <c r="A5" s="11" t="s">
        <v>47</v>
      </c>
      <c r="B5" s="12" t="s">
        <v>48</v>
      </c>
      <c r="C5" s="11">
        <v>10</v>
      </c>
      <c r="D5" s="11">
        <v>6</v>
      </c>
    </row>
    <row r="6" spans="1:4">
      <c r="A6" s="11" t="s">
        <v>125</v>
      </c>
      <c r="B6" s="12" t="s">
        <v>126</v>
      </c>
      <c r="C6" s="11">
        <v>90</v>
      </c>
      <c r="D6" s="11">
        <v>30</v>
      </c>
    </row>
    <row r="7" spans="1:4">
      <c r="A7" s="11" t="s">
        <v>141</v>
      </c>
      <c r="B7" s="12" t="s">
        <v>142</v>
      </c>
      <c r="C7" s="11">
        <v>120</v>
      </c>
      <c r="D7" s="11">
        <v>39</v>
      </c>
    </row>
    <row r="8" spans="1:4">
      <c r="A8" s="11" t="s">
        <v>153</v>
      </c>
      <c r="B8" s="12" t="s">
        <v>154</v>
      </c>
      <c r="C8" s="11">
        <v>250</v>
      </c>
      <c r="D8" s="11">
        <v>-26</v>
      </c>
    </row>
    <row r="9" spans="1:4">
      <c r="A9" s="11" t="s">
        <v>155</v>
      </c>
      <c r="B9" s="12" t="s">
        <v>156</v>
      </c>
      <c r="C9" s="11">
        <v>500</v>
      </c>
      <c r="D9" s="11">
        <v>548</v>
      </c>
    </row>
    <row r="10" spans="1:4">
      <c r="A10" s="11" t="s">
        <v>161</v>
      </c>
      <c r="B10" s="12" t="s">
        <v>162</v>
      </c>
      <c r="C10" s="11">
        <v>80</v>
      </c>
      <c r="D10" s="11">
        <v>8</v>
      </c>
    </row>
    <row r="11" spans="1:4">
      <c r="A11" s="11" t="s">
        <v>163</v>
      </c>
      <c r="B11" s="12" t="s">
        <v>164</v>
      </c>
      <c r="C11" s="11">
        <v>240</v>
      </c>
      <c r="D11" s="11">
        <v>115</v>
      </c>
    </row>
    <row r="12" spans="1:4">
      <c r="A12" s="11" t="s">
        <v>171</v>
      </c>
      <c r="B12" s="12" t="s">
        <v>172</v>
      </c>
      <c r="C12" s="11">
        <v>2340</v>
      </c>
      <c r="D12" s="11">
        <v>609</v>
      </c>
    </row>
    <row r="13" spans="1:4">
      <c r="A13" s="11" t="s">
        <v>221</v>
      </c>
      <c r="B13" s="12" t="s">
        <v>222</v>
      </c>
      <c r="C13" s="11">
        <v>150</v>
      </c>
      <c r="D13" s="11">
        <v>98</v>
      </c>
    </row>
    <row r="14" spans="1:4">
      <c r="A14" s="11" t="s">
        <v>331</v>
      </c>
      <c r="B14" s="12" t="s">
        <v>332</v>
      </c>
      <c r="C14" s="11">
        <v>60</v>
      </c>
      <c r="D14" s="11">
        <v>29</v>
      </c>
    </row>
    <row r="15" spans="1:4">
      <c r="A15" s="11" t="s">
        <v>353</v>
      </c>
      <c r="B15" s="12" t="s">
        <v>354</v>
      </c>
      <c r="C15" s="11">
        <v>500</v>
      </c>
      <c r="D15" s="11">
        <v>291</v>
      </c>
    </row>
    <row r="16" spans="1:4">
      <c r="A16" s="11" t="s">
        <v>413</v>
      </c>
      <c r="B16" s="12" t="s">
        <v>414</v>
      </c>
      <c r="C16" s="11">
        <v>80</v>
      </c>
      <c r="D16" s="11">
        <v>58</v>
      </c>
    </row>
    <row r="17" spans="1:4">
      <c r="A17" s="11" t="s">
        <v>417</v>
      </c>
      <c r="B17" s="12" t="s">
        <v>418</v>
      </c>
      <c r="C17" s="11">
        <v>400</v>
      </c>
      <c r="D17" s="11">
        <v>196</v>
      </c>
    </row>
    <row r="18" spans="1:4">
      <c r="A18" s="11" t="s">
        <v>429</v>
      </c>
      <c r="B18" s="12" t="s">
        <v>430</v>
      </c>
      <c r="C18" s="11">
        <v>100</v>
      </c>
      <c r="D18" s="11">
        <v>108</v>
      </c>
    </row>
    <row r="19" spans="1:4">
      <c r="A19" s="11" t="s">
        <v>461</v>
      </c>
      <c r="B19" s="12" t="s">
        <v>462</v>
      </c>
      <c r="C19" s="11">
        <v>4</v>
      </c>
      <c r="D19" s="11">
        <v>4</v>
      </c>
    </row>
    <row r="20" spans="1:4">
      <c r="A20" s="11" t="s">
        <v>463</v>
      </c>
      <c r="B20" s="12" t="s">
        <v>464</v>
      </c>
      <c r="C20" s="11">
        <v>288</v>
      </c>
      <c r="D20" s="11">
        <v>106</v>
      </c>
    </row>
    <row r="21" spans="1:4">
      <c r="A21" s="11" t="s">
        <v>475</v>
      </c>
      <c r="B21" s="12" t="s">
        <v>476</v>
      </c>
      <c r="C21" s="11">
        <v>60</v>
      </c>
      <c r="D21" s="11">
        <v>16</v>
      </c>
    </row>
    <row r="22" spans="1:4">
      <c r="A22" s="11" t="s">
        <v>479</v>
      </c>
      <c r="B22" s="12" t="s">
        <v>480</v>
      </c>
      <c r="C22" s="11">
        <v>400</v>
      </c>
      <c r="D22" s="11">
        <v>293</v>
      </c>
    </row>
    <row r="23" spans="1:4">
      <c r="A23" s="11" t="s">
        <v>503</v>
      </c>
      <c r="B23" s="12" t="s">
        <v>504</v>
      </c>
      <c r="C23" s="11">
        <v>200</v>
      </c>
      <c r="D23" s="11">
        <v>86</v>
      </c>
    </row>
    <row r="24" spans="1:4">
      <c r="A24" s="11" t="s">
        <v>549</v>
      </c>
      <c r="B24" s="12" t="s">
        <v>550</v>
      </c>
      <c r="C24" s="11">
        <v>800</v>
      </c>
      <c r="D24" s="11">
        <v>402</v>
      </c>
    </row>
    <row r="25" spans="1:4">
      <c r="A25" s="11" t="s">
        <v>577</v>
      </c>
      <c r="B25" s="12" t="s">
        <v>578</v>
      </c>
      <c r="C25" s="11">
        <v>100</v>
      </c>
      <c r="D25" s="11">
        <v>83</v>
      </c>
    </row>
    <row r="26" spans="1:4">
      <c r="A26" s="11" t="s">
        <v>583</v>
      </c>
      <c r="B26" s="12" t="s">
        <v>584</v>
      </c>
      <c r="C26" s="11">
        <v>25</v>
      </c>
      <c r="D26" s="11">
        <v>4</v>
      </c>
    </row>
    <row r="27" spans="1:4">
      <c r="A27" s="11" t="s">
        <v>611</v>
      </c>
      <c r="B27" s="12" t="s">
        <v>612</v>
      </c>
      <c r="C27" s="11">
        <v>216</v>
      </c>
      <c r="D27" s="11">
        <v>104</v>
      </c>
    </row>
    <row r="28" spans="1:4">
      <c r="A28" s="11" t="s">
        <v>631</v>
      </c>
      <c r="B28" s="12" t="s">
        <v>632</v>
      </c>
      <c r="C28" s="11">
        <v>1000</v>
      </c>
      <c r="D28" s="11">
        <v>532</v>
      </c>
    </row>
    <row r="29" spans="1:4">
      <c r="A29" s="11" t="s">
        <v>663</v>
      </c>
      <c r="B29" s="12" t="s">
        <v>664</v>
      </c>
      <c r="C29" s="11">
        <v>20</v>
      </c>
      <c r="D29" s="11">
        <v>7</v>
      </c>
    </row>
    <row r="30" spans="1:4">
      <c r="A30" s="11" t="s">
        <v>667</v>
      </c>
      <c r="B30" s="12" t="s">
        <v>668</v>
      </c>
      <c r="C30" s="11">
        <v>600</v>
      </c>
      <c r="D30" s="11">
        <v>485</v>
      </c>
    </row>
    <row r="31" spans="1:4">
      <c r="A31" s="11" t="s">
        <v>679</v>
      </c>
      <c r="B31" s="12" t="s">
        <v>680</v>
      </c>
      <c r="C31" s="11">
        <v>1200</v>
      </c>
      <c r="D31" s="11">
        <v>398</v>
      </c>
    </row>
    <row r="32" spans="1:4">
      <c r="A32" s="11" t="s">
        <v>699</v>
      </c>
      <c r="B32" s="12" t="s">
        <v>700</v>
      </c>
      <c r="C32" s="11">
        <v>30</v>
      </c>
      <c r="D32" s="11">
        <v>25</v>
      </c>
    </row>
    <row r="33" spans="1:4">
      <c r="A33" s="11" t="s">
        <v>709</v>
      </c>
      <c r="B33" s="12" t="s">
        <v>710</v>
      </c>
      <c r="C33" s="11">
        <v>20</v>
      </c>
      <c r="D33" s="11">
        <v>3</v>
      </c>
    </row>
    <row r="34" spans="1:4">
      <c r="A34" s="11" t="s">
        <v>713</v>
      </c>
      <c r="B34" s="12" t="s">
        <v>714</v>
      </c>
      <c r="C34" s="11">
        <v>5</v>
      </c>
      <c r="D34" s="11">
        <v>1</v>
      </c>
    </row>
    <row r="35" spans="1:4">
      <c r="A35" s="11" t="s">
        <v>719</v>
      </c>
      <c r="B35" s="12" t="s">
        <v>720</v>
      </c>
      <c r="C35" s="11">
        <v>300</v>
      </c>
      <c r="D35" s="11">
        <v>109</v>
      </c>
    </row>
    <row r="36" spans="1:4">
      <c r="A36" s="11" t="s">
        <v>803</v>
      </c>
      <c r="B36" s="12" t="s">
        <v>804</v>
      </c>
      <c r="C36" s="11">
        <v>100</v>
      </c>
      <c r="D36" s="11">
        <v>-144</v>
      </c>
    </row>
    <row r="37" spans="1:4">
      <c r="A37" s="11" t="s">
        <v>807</v>
      </c>
      <c r="B37" s="12" t="s">
        <v>808</v>
      </c>
      <c r="C37" s="11">
        <v>6</v>
      </c>
      <c r="D37" s="11">
        <v>4</v>
      </c>
    </row>
    <row r="38" spans="1:4">
      <c r="A38" s="11" t="s">
        <v>811</v>
      </c>
      <c r="B38" s="12" t="s">
        <v>812</v>
      </c>
      <c r="C38" s="11">
        <v>144</v>
      </c>
      <c r="D38" s="11">
        <v>42</v>
      </c>
    </row>
    <row r="39" spans="1:4">
      <c r="A39" s="11" t="s">
        <v>841</v>
      </c>
      <c r="B39" s="12" t="s">
        <v>842</v>
      </c>
      <c r="C39" s="11">
        <v>22</v>
      </c>
      <c r="D39" s="11">
        <v>9</v>
      </c>
    </row>
    <row r="40" spans="1:4">
      <c r="A40" s="11" t="s">
        <v>881</v>
      </c>
      <c r="B40" s="12" t="s">
        <v>882</v>
      </c>
      <c r="C40" s="11">
        <v>4</v>
      </c>
      <c r="D40" s="11">
        <v>0</v>
      </c>
    </row>
    <row r="41" spans="1:4">
      <c r="A41" s="11" t="s">
        <v>917</v>
      </c>
      <c r="B41" s="12" t="s">
        <v>918</v>
      </c>
      <c r="C41" s="11">
        <v>20</v>
      </c>
      <c r="D41" s="11">
        <v>19</v>
      </c>
    </row>
    <row r="42" spans="1:4">
      <c r="A42" s="11" t="s">
        <v>921</v>
      </c>
      <c r="B42" s="12" t="s">
        <v>922</v>
      </c>
      <c r="C42" s="11">
        <v>1920</v>
      </c>
      <c r="D42" s="11">
        <v>48</v>
      </c>
    </row>
    <row r="43" spans="1:4">
      <c r="A43" s="11" t="s">
        <v>951</v>
      </c>
      <c r="B43" s="12" t="s">
        <v>952</v>
      </c>
      <c r="C43" s="11">
        <v>1600</v>
      </c>
      <c r="D43" s="11">
        <v>1515</v>
      </c>
    </row>
    <row r="44" spans="1:4">
      <c r="A44" s="11" t="s">
        <v>979</v>
      </c>
      <c r="B44" s="12" t="s">
        <v>980</v>
      </c>
      <c r="C44" s="11">
        <v>150</v>
      </c>
      <c r="D44" s="11">
        <v>114</v>
      </c>
    </row>
    <row r="45" spans="1:4">
      <c r="A45" s="11" t="s">
        <v>981</v>
      </c>
      <c r="B45" s="12" t="s">
        <v>982</v>
      </c>
      <c r="C45" s="11">
        <v>480</v>
      </c>
      <c r="D45" s="11">
        <v>201</v>
      </c>
    </row>
    <row r="46" spans="1:4">
      <c r="A46" s="11" t="s">
        <v>995</v>
      </c>
      <c r="B46" s="12" t="s">
        <v>996</v>
      </c>
      <c r="C46" s="11">
        <v>10</v>
      </c>
      <c r="D46" s="11">
        <v>3</v>
      </c>
    </row>
    <row r="47" spans="1:4">
      <c r="A47" s="11" t="s">
        <v>1001</v>
      </c>
      <c r="B47" s="12" t="s">
        <v>1002</v>
      </c>
      <c r="C47" s="11">
        <v>4600</v>
      </c>
      <c r="D47" s="11">
        <v>1792</v>
      </c>
    </row>
    <row r="48" spans="1:4">
      <c r="A48" s="11" t="s">
        <v>1023</v>
      </c>
      <c r="B48" s="12" t="s">
        <v>1024</v>
      </c>
      <c r="C48" s="11">
        <v>600</v>
      </c>
      <c r="D48" s="11">
        <v>51</v>
      </c>
    </row>
    <row r="49" spans="1:4">
      <c r="A49" s="11" t="s">
        <v>1049</v>
      </c>
      <c r="B49" s="12" t="s">
        <v>1050</v>
      </c>
      <c r="C49" s="11">
        <v>240</v>
      </c>
      <c r="D49" s="11">
        <v>69</v>
      </c>
    </row>
    <row r="50" spans="1:4">
      <c r="A50" s="11" t="s">
        <v>1063</v>
      </c>
      <c r="B50" s="12" t="s">
        <v>1064</v>
      </c>
      <c r="C50" s="11">
        <v>100</v>
      </c>
      <c r="D50" s="11">
        <v>128</v>
      </c>
    </row>
    <row r="51" spans="1:4">
      <c r="A51" s="11" t="s">
        <v>1071</v>
      </c>
      <c r="B51" s="12" t="s">
        <v>1072</v>
      </c>
      <c r="C51" s="11">
        <v>20</v>
      </c>
      <c r="D51" s="11">
        <v>-15</v>
      </c>
    </row>
    <row r="52" spans="1:4">
      <c r="A52" s="11" t="s">
        <v>1073</v>
      </c>
      <c r="B52" s="12" t="s">
        <v>1074</v>
      </c>
      <c r="C52" s="11">
        <v>90</v>
      </c>
      <c r="D52" s="11">
        <v>121</v>
      </c>
    </row>
    <row r="53" spans="1:4">
      <c r="A53" s="11" t="s">
        <v>1083</v>
      </c>
      <c r="B53" s="12" t="s">
        <v>2672</v>
      </c>
      <c r="C53" s="11">
        <v>1200</v>
      </c>
      <c r="D53" s="11">
        <v>756</v>
      </c>
    </row>
    <row r="54" spans="1:4">
      <c r="A54" s="11" t="s">
        <v>1091</v>
      </c>
      <c r="B54" s="12" t="s">
        <v>1092</v>
      </c>
      <c r="C54" s="11">
        <v>50</v>
      </c>
      <c r="D54" s="11">
        <v>110</v>
      </c>
    </row>
    <row r="55" spans="1:4">
      <c r="A55" s="11" t="s">
        <v>1097</v>
      </c>
      <c r="B55" s="12" t="s">
        <v>1098</v>
      </c>
      <c r="C55" s="11">
        <v>2</v>
      </c>
      <c r="D55" s="11">
        <v>2</v>
      </c>
    </row>
    <row r="56" spans="1:4">
      <c r="A56" s="11" t="s">
        <v>1143</v>
      </c>
      <c r="B56" s="12" t="s">
        <v>1144</v>
      </c>
      <c r="C56" s="11">
        <v>10</v>
      </c>
      <c r="D56" s="11">
        <v>4</v>
      </c>
    </row>
    <row r="57" spans="1:4">
      <c r="A57" s="11" t="s">
        <v>1145</v>
      </c>
      <c r="B57" s="12" t="s">
        <v>1146</v>
      </c>
      <c r="C57" s="11">
        <v>120</v>
      </c>
      <c r="D57" s="11">
        <v>67</v>
      </c>
    </row>
    <row r="58" spans="1:4">
      <c r="A58" s="11" t="s">
        <v>1149</v>
      </c>
      <c r="B58" s="12" t="s">
        <v>1150</v>
      </c>
      <c r="C58" s="11">
        <v>2</v>
      </c>
      <c r="D58" s="11">
        <v>3</v>
      </c>
    </row>
    <row r="59" spans="1:4">
      <c r="A59" s="11" t="s">
        <v>1153</v>
      </c>
      <c r="B59" s="12" t="s">
        <v>1154</v>
      </c>
      <c r="C59" s="11">
        <v>6</v>
      </c>
      <c r="D59" s="11">
        <v>4</v>
      </c>
    </row>
    <row r="60" spans="1:4">
      <c r="A60" s="11" t="s">
        <v>1161</v>
      </c>
      <c r="B60" s="12" t="s">
        <v>1162</v>
      </c>
      <c r="C60" s="11">
        <v>10</v>
      </c>
      <c r="D60" s="11">
        <v>2</v>
      </c>
    </row>
    <row r="61" spans="1:4">
      <c r="A61" s="11" t="s">
        <v>1219</v>
      </c>
      <c r="B61" s="12" t="s">
        <v>1220</v>
      </c>
      <c r="C61" s="11">
        <v>300</v>
      </c>
      <c r="D61" s="11">
        <v>187</v>
      </c>
    </row>
    <row r="62" spans="1:4">
      <c r="A62" s="11" t="s">
        <v>1251</v>
      </c>
      <c r="B62" s="12" t="s">
        <v>1252</v>
      </c>
      <c r="C62" s="11">
        <v>90</v>
      </c>
      <c r="D62" s="11">
        <v>14</v>
      </c>
    </row>
    <row r="63" spans="1:4">
      <c r="A63" s="11" t="s">
        <v>1305</v>
      </c>
      <c r="B63" s="12" t="s">
        <v>1306</v>
      </c>
      <c r="C63" s="11">
        <v>600</v>
      </c>
      <c r="D63" s="11">
        <v>171</v>
      </c>
    </row>
    <row r="64" spans="1:4">
      <c r="A64" s="11" t="s">
        <v>1307</v>
      </c>
      <c r="B64" s="12" t="s">
        <v>1308</v>
      </c>
      <c r="C64" s="11">
        <v>100</v>
      </c>
      <c r="D64" s="11">
        <v>74</v>
      </c>
    </row>
    <row r="65" spans="1:4">
      <c r="A65" s="11" t="s">
        <v>1345</v>
      </c>
      <c r="B65" s="12" t="s">
        <v>2673</v>
      </c>
      <c r="C65" s="11">
        <v>21</v>
      </c>
      <c r="D65" s="11">
        <v>0</v>
      </c>
    </row>
    <row r="66" spans="1:4">
      <c r="A66" s="11" t="s">
        <v>1357</v>
      </c>
      <c r="B66" s="12" t="s">
        <v>1358</v>
      </c>
      <c r="C66" s="11">
        <v>5</v>
      </c>
      <c r="D66" s="11">
        <v>4</v>
      </c>
    </row>
    <row r="67" spans="1:4">
      <c r="A67" s="11" t="s">
        <v>1359</v>
      </c>
      <c r="B67" s="12" t="s">
        <v>1360</v>
      </c>
      <c r="C67" s="11">
        <v>25</v>
      </c>
      <c r="D67" s="11">
        <v>8</v>
      </c>
    </row>
    <row r="68" spans="1:4">
      <c r="A68" s="11" t="s">
        <v>1371</v>
      </c>
      <c r="B68" s="12" t="s">
        <v>1372</v>
      </c>
      <c r="C68" s="11">
        <v>120</v>
      </c>
      <c r="D68" s="11">
        <v>216</v>
      </c>
    </row>
    <row r="69" spans="1:4">
      <c r="A69" s="11" t="s">
        <v>1375</v>
      </c>
      <c r="B69" s="12" t="s">
        <v>1376</v>
      </c>
      <c r="C69" s="11">
        <v>144</v>
      </c>
      <c r="D69" s="11">
        <v>44</v>
      </c>
    </row>
    <row r="70" spans="1:4">
      <c r="A70" s="11" t="s">
        <v>1399</v>
      </c>
      <c r="B70" s="12" t="s">
        <v>1400</v>
      </c>
      <c r="C70" s="11">
        <v>100</v>
      </c>
      <c r="D70" s="11">
        <v>79</v>
      </c>
    </row>
    <row r="71" spans="1:4">
      <c r="A71" s="11" t="s">
        <v>1407</v>
      </c>
      <c r="B71" s="12" t="s">
        <v>1408</v>
      </c>
      <c r="C71" s="11">
        <v>600</v>
      </c>
      <c r="D71" s="11">
        <v>1077</v>
      </c>
    </row>
    <row r="72" spans="1:4">
      <c r="A72" s="11" t="s">
        <v>1417</v>
      </c>
      <c r="B72" s="12" t="s">
        <v>1418</v>
      </c>
      <c r="C72" s="11">
        <v>1500</v>
      </c>
      <c r="D72" s="11">
        <v>636</v>
      </c>
    </row>
    <row r="73" spans="1:4">
      <c r="A73" s="11" t="s">
        <v>1425</v>
      </c>
      <c r="B73" s="12" t="s">
        <v>1426</v>
      </c>
      <c r="C73" s="11">
        <v>10</v>
      </c>
      <c r="D73" s="11">
        <v>-3</v>
      </c>
    </row>
    <row r="74" spans="1:4">
      <c r="A74" s="11" t="s">
        <v>1437</v>
      </c>
      <c r="B74" s="12" t="s">
        <v>1438</v>
      </c>
      <c r="C74" s="11">
        <v>0</v>
      </c>
      <c r="D74" s="11">
        <v>-9</v>
      </c>
    </row>
    <row r="75" spans="1:4">
      <c r="A75" s="11" t="s">
        <v>1515</v>
      </c>
      <c r="B75" s="12" t="s">
        <v>1516</v>
      </c>
      <c r="C75" s="11">
        <v>10</v>
      </c>
      <c r="D75" s="11">
        <v>7</v>
      </c>
    </row>
    <row r="76" spans="1:4">
      <c r="A76" s="11" t="s">
        <v>1545</v>
      </c>
      <c r="B76" s="12" t="s">
        <v>1546</v>
      </c>
      <c r="C76" s="11">
        <v>100</v>
      </c>
      <c r="D76" s="11">
        <v>49</v>
      </c>
    </row>
    <row r="77" spans="1:4">
      <c r="A77" s="11" t="s">
        <v>1581</v>
      </c>
      <c r="B77" s="12" t="s">
        <v>1582</v>
      </c>
      <c r="C77" s="11">
        <v>200</v>
      </c>
      <c r="D77" s="11">
        <v>101</v>
      </c>
    </row>
    <row r="78" spans="1:4">
      <c r="A78" s="11" t="s">
        <v>1589</v>
      </c>
      <c r="B78" s="12" t="s">
        <v>1590</v>
      </c>
      <c r="C78" s="11">
        <v>40</v>
      </c>
      <c r="D78" s="11">
        <v>28</v>
      </c>
    </row>
    <row r="79" spans="1:4">
      <c r="A79" s="11" t="s">
        <v>1593</v>
      </c>
      <c r="B79" s="12" t="s">
        <v>1594</v>
      </c>
      <c r="C79" s="11">
        <v>100</v>
      </c>
      <c r="D79" s="11">
        <v>150</v>
      </c>
    </row>
    <row r="80" spans="1:4">
      <c r="A80" s="11" t="s">
        <v>1595</v>
      </c>
      <c r="B80" s="12" t="s">
        <v>1596</v>
      </c>
      <c r="C80" s="11">
        <v>400</v>
      </c>
      <c r="D80" s="11">
        <v>41</v>
      </c>
    </row>
    <row r="81" spans="1:4">
      <c r="A81" s="11" t="s">
        <v>1623</v>
      </c>
      <c r="B81" s="12" t="s">
        <v>1624</v>
      </c>
      <c r="C81" s="11">
        <v>2</v>
      </c>
      <c r="D81" s="11">
        <v>1</v>
      </c>
    </row>
    <row r="82" spans="1:4">
      <c r="A82" s="11" t="s">
        <v>1687</v>
      </c>
      <c r="B82" s="12" t="s">
        <v>1688</v>
      </c>
      <c r="C82" s="11">
        <v>1440</v>
      </c>
      <c r="D82" s="11">
        <v>498</v>
      </c>
    </row>
    <row r="83" spans="1:4">
      <c r="A83" s="11" t="s">
        <v>1713</v>
      </c>
      <c r="B83" s="12" t="s">
        <v>1714</v>
      </c>
      <c r="C83" s="11">
        <v>300</v>
      </c>
      <c r="D83" s="11">
        <v>146</v>
      </c>
    </row>
    <row r="84" spans="1:4">
      <c r="A84" s="11" t="s">
        <v>1717</v>
      </c>
      <c r="B84" s="12" t="s">
        <v>1718</v>
      </c>
      <c r="C84" s="11">
        <v>4</v>
      </c>
      <c r="D84" s="11">
        <v>3</v>
      </c>
    </row>
    <row r="85" spans="1:4">
      <c r="A85" s="11" t="s">
        <v>1727</v>
      </c>
      <c r="B85" s="12" t="s">
        <v>1728</v>
      </c>
      <c r="C85" s="11">
        <v>800</v>
      </c>
      <c r="D85" s="11">
        <v>353</v>
      </c>
    </row>
    <row r="86" spans="1:4">
      <c r="A86" s="11" t="s">
        <v>1743</v>
      </c>
      <c r="B86" s="12" t="s">
        <v>1744</v>
      </c>
      <c r="C86" s="11">
        <v>50</v>
      </c>
      <c r="D86" s="11">
        <v>32</v>
      </c>
    </row>
    <row r="87" spans="1:4">
      <c r="A87" s="11" t="s">
        <v>1797</v>
      </c>
      <c r="B87" s="12" t="s">
        <v>1798</v>
      </c>
      <c r="C87" s="11">
        <v>60</v>
      </c>
      <c r="D87" s="11">
        <v>2</v>
      </c>
    </row>
    <row r="88" spans="1:4">
      <c r="A88" s="11" t="s">
        <v>1799</v>
      </c>
      <c r="B88" s="12" t="s">
        <v>1800</v>
      </c>
      <c r="C88" s="11">
        <v>40</v>
      </c>
      <c r="D88" s="11">
        <v>9</v>
      </c>
    </row>
    <row r="89" spans="1:4">
      <c r="A89" s="11" t="s">
        <v>1801</v>
      </c>
      <c r="B89" s="12" t="s">
        <v>1802</v>
      </c>
      <c r="C89" s="11">
        <v>10</v>
      </c>
      <c r="D89" s="11">
        <v>16</v>
      </c>
    </row>
    <row r="90" spans="1:4">
      <c r="A90" s="11" t="s">
        <v>1809</v>
      </c>
      <c r="B90" s="12" t="s">
        <v>1810</v>
      </c>
      <c r="C90" s="11">
        <v>1500</v>
      </c>
      <c r="D90" s="11">
        <v>842</v>
      </c>
    </row>
    <row r="91" spans="1:4">
      <c r="A91" s="11" t="s">
        <v>1811</v>
      </c>
      <c r="B91" s="12" t="s">
        <v>1812</v>
      </c>
      <c r="C91" s="11">
        <v>500</v>
      </c>
      <c r="D91" s="11">
        <v>226</v>
      </c>
    </row>
    <row r="92" spans="1:4">
      <c r="A92" s="11" t="s">
        <v>1821</v>
      </c>
      <c r="B92" s="12" t="s">
        <v>1822</v>
      </c>
      <c r="C92" s="11">
        <v>100</v>
      </c>
      <c r="D92" s="11">
        <v>79</v>
      </c>
    </row>
    <row r="93" spans="1:4">
      <c r="A93" s="11" t="s">
        <v>1853</v>
      </c>
      <c r="B93" s="12" t="s">
        <v>1854</v>
      </c>
      <c r="C93" s="11">
        <v>300</v>
      </c>
      <c r="D93" s="11">
        <v>311</v>
      </c>
    </row>
    <row r="94" spans="1:4">
      <c r="A94" s="11" t="s">
        <v>1869</v>
      </c>
      <c r="B94" s="12" t="s">
        <v>1870</v>
      </c>
      <c r="C94" s="11">
        <v>20</v>
      </c>
      <c r="D94" s="11">
        <v>-2</v>
      </c>
    </row>
    <row r="95" spans="1:4">
      <c r="A95" s="11" t="s">
        <v>1893</v>
      </c>
      <c r="B95" s="12" t="s">
        <v>1894</v>
      </c>
      <c r="C95" s="11">
        <v>2</v>
      </c>
      <c r="D95" s="11">
        <v>1</v>
      </c>
    </row>
    <row r="96" spans="1:4">
      <c r="A96" s="11" t="s">
        <v>1921</v>
      </c>
      <c r="B96" s="12" t="s">
        <v>1922</v>
      </c>
      <c r="C96" s="11">
        <v>0</v>
      </c>
      <c r="D96" s="11">
        <v>11</v>
      </c>
    </row>
    <row r="97" spans="1:4">
      <c r="A97" s="11" t="s">
        <v>1967</v>
      </c>
      <c r="B97" s="12" t="s">
        <v>1968</v>
      </c>
      <c r="C97" s="11">
        <v>2000</v>
      </c>
      <c r="D97" s="11">
        <v>715</v>
      </c>
    </row>
    <row r="98" spans="1:4">
      <c r="A98" s="11" t="s">
        <v>1989</v>
      </c>
      <c r="B98" s="12" t="s">
        <v>1990</v>
      </c>
      <c r="C98" s="11">
        <v>1280</v>
      </c>
      <c r="D98" s="11">
        <v>304</v>
      </c>
    </row>
    <row r="99" spans="1:4">
      <c r="A99" s="11" t="s">
        <v>2017</v>
      </c>
      <c r="B99" s="12" t="s">
        <v>2018</v>
      </c>
      <c r="C99" s="11">
        <v>145</v>
      </c>
      <c r="D99" s="11">
        <v>2</v>
      </c>
    </row>
    <row r="100" spans="1:4">
      <c r="A100" s="11" t="s">
        <v>2041</v>
      </c>
      <c r="B100" s="12" t="s">
        <v>2042</v>
      </c>
      <c r="C100" s="11">
        <v>100</v>
      </c>
      <c r="D100" s="11">
        <v>85</v>
      </c>
    </row>
    <row r="101" spans="1:4">
      <c r="A101" s="11" t="s">
        <v>2073</v>
      </c>
      <c r="B101" s="12" t="s">
        <v>2074</v>
      </c>
      <c r="C101" s="11">
        <v>2200</v>
      </c>
      <c r="D101" s="11">
        <v>872</v>
      </c>
    </row>
    <row r="102" spans="1:4">
      <c r="A102" s="11" t="s">
        <v>2117</v>
      </c>
      <c r="B102" s="12" t="s">
        <v>2118</v>
      </c>
      <c r="C102" s="11">
        <v>6</v>
      </c>
      <c r="D102" s="11">
        <v>3</v>
      </c>
    </row>
    <row r="103" spans="1:4">
      <c r="A103" s="11" t="s">
        <v>2127</v>
      </c>
      <c r="B103" s="12" t="s">
        <v>2128</v>
      </c>
      <c r="C103" s="11">
        <v>48</v>
      </c>
      <c r="D103" s="11">
        <v>-16</v>
      </c>
    </row>
    <row r="104" spans="1:4">
      <c r="A104" s="11" t="s">
        <v>2131</v>
      </c>
      <c r="B104" s="12" t="s">
        <v>2132</v>
      </c>
      <c r="C104" s="11">
        <v>400</v>
      </c>
      <c r="D104" s="11">
        <v>195</v>
      </c>
    </row>
    <row r="105" spans="1:4">
      <c r="A105" s="11" t="s">
        <v>2133</v>
      </c>
      <c r="B105" s="12" t="s">
        <v>2134</v>
      </c>
      <c r="C105" s="11">
        <v>60</v>
      </c>
      <c r="D105" s="11">
        <v>31</v>
      </c>
    </row>
    <row r="106" spans="1:4">
      <c r="A106" s="11" t="s">
        <v>2135</v>
      </c>
      <c r="B106" s="12" t="s">
        <v>2136</v>
      </c>
      <c r="C106" s="11">
        <v>1200</v>
      </c>
      <c r="D106" s="11">
        <v>720</v>
      </c>
    </row>
    <row r="107" spans="1:4">
      <c r="A107" s="11" t="s">
        <v>2165</v>
      </c>
      <c r="B107" s="12" t="s">
        <v>2166</v>
      </c>
      <c r="C107" s="11">
        <v>4100</v>
      </c>
      <c r="D107" s="11">
        <v>1623</v>
      </c>
    </row>
    <row r="108" spans="1:4">
      <c r="A108" s="11" t="s">
        <v>2185</v>
      </c>
      <c r="B108" s="12" t="s">
        <v>2186</v>
      </c>
      <c r="C108" s="11">
        <v>450</v>
      </c>
      <c r="D108" s="11">
        <v>81</v>
      </c>
    </row>
    <row r="109" spans="1:4">
      <c r="A109" s="11" t="s">
        <v>2187</v>
      </c>
      <c r="B109" s="12" t="s">
        <v>2188</v>
      </c>
      <c r="C109" s="11">
        <v>2100</v>
      </c>
      <c r="D109" s="11">
        <v>1144</v>
      </c>
    </row>
    <row r="110" spans="1:4">
      <c r="A110" s="11" t="s">
        <v>2195</v>
      </c>
      <c r="B110" s="12" t="s">
        <v>2196</v>
      </c>
      <c r="C110" s="11">
        <v>270</v>
      </c>
      <c r="D110" s="11">
        <v>130</v>
      </c>
    </row>
    <row r="111" spans="1:4">
      <c r="A111" s="11" t="s">
        <v>2233</v>
      </c>
      <c r="B111" s="12" t="s">
        <v>2234</v>
      </c>
      <c r="C111" s="11">
        <v>60</v>
      </c>
      <c r="D111" s="11">
        <v>19</v>
      </c>
    </row>
    <row r="112" spans="1:4">
      <c r="A112" s="11" t="s">
        <v>2235</v>
      </c>
      <c r="B112" s="12" t="s">
        <v>2236</v>
      </c>
      <c r="C112" s="11">
        <v>180</v>
      </c>
      <c r="D112" s="11">
        <v>87</v>
      </c>
    </row>
    <row r="113" spans="1:4">
      <c r="A113" s="11" t="s">
        <v>2257</v>
      </c>
      <c r="B113" s="12" t="s">
        <v>2258</v>
      </c>
      <c r="C113" s="11">
        <v>400</v>
      </c>
      <c r="D113" s="11">
        <v>438</v>
      </c>
    </row>
    <row r="114" spans="1:4">
      <c r="A114" s="11" t="s">
        <v>2259</v>
      </c>
      <c r="B114" s="12" t="s">
        <v>2260</v>
      </c>
      <c r="C114" s="11">
        <v>72</v>
      </c>
      <c r="D114" s="11">
        <v>20</v>
      </c>
    </row>
    <row r="115" spans="1:4">
      <c r="A115" s="11" t="s">
        <v>2269</v>
      </c>
      <c r="B115" s="12" t="s">
        <v>2270</v>
      </c>
      <c r="C115" s="11">
        <v>1440</v>
      </c>
      <c r="D115" s="11">
        <v>322</v>
      </c>
    </row>
    <row r="116" spans="1:4">
      <c r="A116" s="11" t="s">
        <v>2275</v>
      </c>
      <c r="B116" s="12" t="s">
        <v>2276</v>
      </c>
      <c r="C116" s="11">
        <v>600</v>
      </c>
      <c r="D116" s="11">
        <v>94</v>
      </c>
    </row>
    <row r="117" spans="1:4">
      <c r="A117" s="11" t="s">
        <v>2303</v>
      </c>
      <c r="B117" s="12" t="s">
        <v>2304</v>
      </c>
      <c r="C117" s="11">
        <v>400</v>
      </c>
      <c r="D117" s="11">
        <v>156</v>
      </c>
    </row>
    <row r="118" spans="1:4">
      <c r="A118" s="11" t="s">
        <v>2337</v>
      </c>
      <c r="B118" s="12" t="s">
        <v>2338</v>
      </c>
      <c r="C118" s="11">
        <v>0</v>
      </c>
      <c r="D118" s="11">
        <v>6</v>
      </c>
    </row>
    <row r="119" spans="1:4">
      <c r="A119" s="11" t="s">
        <v>2377</v>
      </c>
      <c r="B119" s="12" t="s">
        <v>2378</v>
      </c>
      <c r="C119" s="11">
        <v>30</v>
      </c>
      <c r="D119" s="11">
        <v>43</v>
      </c>
    </row>
    <row r="120" spans="1:4">
      <c r="A120" s="11" t="s">
        <v>2385</v>
      </c>
      <c r="B120" s="12" t="s">
        <v>2386</v>
      </c>
      <c r="C120" s="11">
        <v>500</v>
      </c>
      <c r="D120" s="11">
        <v>159</v>
      </c>
    </row>
    <row r="121" spans="1:4">
      <c r="A121" s="11" t="s">
        <v>2411</v>
      </c>
      <c r="B121" s="12" t="s">
        <v>2412</v>
      </c>
      <c r="C121" s="11">
        <v>60</v>
      </c>
      <c r="D121" s="11">
        <v>9</v>
      </c>
    </row>
    <row r="122" spans="1:4">
      <c r="A122" s="11" t="s">
        <v>2415</v>
      </c>
      <c r="B122" s="12" t="s">
        <v>2416</v>
      </c>
      <c r="C122" s="11">
        <v>100</v>
      </c>
      <c r="D122" s="11">
        <v>28</v>
      </c>
    </row>
    <row r="123" spans="1:4">
      <c r="A123" s="11" t="s">
        <v>2437</v>
      </c>
      <c r="B123" s="12" t="s">
        <v>2438</v>
      </c>
      <c r="C123" s="11">
        <v>1600</v>
      </c>
      <c r="D123" s="11">
        <v>808</v>
      </c>
    </row>
    <row r="124" spans="1:4">
      <c r="A124" s="11" t="s">
        <v>2445</v>
      </c>
      <c r="B124" s="12" t="s">
        <v>2446</v>
      </c>
      <c r="C124" s="11">
        <v>100</v>
      </c>
      <c r="D124" s="11">
        <v>91</v>
      </c>
    </row>
    <row r="125" spans="1:4">
      <c r="A125" s="11" t="s">
        <v>2487</v>
      </c>
      <c r="B125" s="12" t="s">
        <v>2488</v>
      </c>
      <c r="C125" s="11">
        <v>12</v>
      </c>
      <c r="D125" s="11">
        <v>11</v>
      </c>
    </row>
    <row r="126" spans="1:4">
      <c r="A126" s="11" t="s">
        <v>2491</v>
      </c>
      <c r="B126" s="12" t="s">
        <v>2492</v>
      </c>
      <c r="C126" s="11">
        <v>90</v>
      </c>
      <c r="D126" s="11">
        <v>422</v>
      </c>
    </row>
    <row r="127" spans="1:4">
      <c r="A127" s="11" t="s">
        <v>2521</v>
      </c>
      <c r="B127" s="12" t="s">
        <v>2522</v>
      </c>
      <c r="C127" s="11">
        <v>2400</v>
      </c>
      <c r="D127" s="11">
        <v>341</v>
      </c>
    </row>
    <row r="128" spans="1:4">
      <c r="A128" s="11" t="s">
        <v>2523</v>
      </c>
      <c r="B128" s="12" t="s">
        <v>2524</v>
      </c>
      <c r="C128" s="11">
        <v>120</v>
      </c>
      <c r="D128" s="11">
        <v>186</v>
      </c>
    </row>
    <row r="129" spans="1:4">
      <c r="A129" s="11" t="s">
        <v>2527</v>
      </c>
      <c r="B129" s="12" t="s">
        <v>2528</v>
      </c>
      <c r="C129" s="11">
        <v>60</v>
      </c>
      <c r="D129" s="11">
        <v>33</v>
      </c>
    </row>
    <row r="130" spans="1:4">
      <c r="A130" s="11" t="s">
        <v>2595</v>
      </c>
      <c r="B130" s="12" t="s">
        <v>2596</v>
      </c>
      <c r="C130" s="11">
        <v>12</v>
      </c>
      <c r="D130" s="11">
        <v>3</v>
      </c>
    </row>
    <row r="131" spans="1:4">
      <c r="A131" s="11" t="s">
        <v>2623</v>
      </c>
      <c r="B131" s="12" t="s">
        <v>2624</v>
      </c>
      <c r="C131" s="11">
        <v>80</v>
      </c>
      <c r="D131" s="11">
        <v>61</v>
      </c>
    </row>
    <row r="132" spans="1:4">
      <c r="A132" s="11" t="s">
        <v>2633</v>
      </c>
      <c r="B132" s="12" t="s">
        <v>2634</v>
      </c>
      <c r="C132" s="11">
        <v>20</v>
      </c>
      <c r="D132" s="11">
        <v>-1</v>
      </c>
    </row>
    <row r="133" spans="1:4">
      <c r="A133" s="11" t="s">
        <v>2639</v>
      </c>
      <c r="B133" s="12" t="s">
        <v>2640</v>
      </c>
      <c r="C133" s="11">
        <v>190</v>
      </c>
      <c r="D133" s="11">
        <v>75</v>
      </c>
    </row>
    <row r="134" spans="1:4">
      <c r="A134" s="11" t="s">
        <v>2645</v>
      </c>
      <c r="B134" s="12" t="s">
        <v>2646</v>
      </c>
      <c r="C134" s="11">
        <v>1</v>
      </c>
      <c r="D134" s="11">
        <v>1</v>
      </c>
    </row>
    <row r="135" spans="1:4">
      <c r="A135" s="11" t="s">
        <v>2647</v>
      </c>
      <c r="B135" s="12" t="s">
        <v>2648</v>
      </c>
      <c r="C135" s="11">
        <v>10</v>
      </c>
      <c r="D135" s="11">
        <v>2</v>
      </c>
    </row>
    <row r="136" spans="1:4">
      <c r="A136" s="11" t="s">
        <v>2651</v>
      </c>
      <c r="B136" s="12" t="s">
        <v>2652</v>
      </c>
      <c r="C136" s="11">
        <v>2</v>
      </c>
      <c r="D136" s="11">
        <v>1</v>
      </c>
    </row>
    <row r="137" spans="1:4">
      <c r="A137" s="11" t="s">
        <v>2657</v>
      </c>
      <c r="B137" s="12" t="s">
        <v>2658</v>
      </c>
      <c r="C137" s="11">
        <v>100</v>
      </c>
      <c r="D137" s="11">
        <v>126</v>
      </c>
    </row>
    <row r="138" spans="1:4">
      <c r="A138" s="11" t="s">
        <v>2661</v>
      </c>
      <c r="B138" s="12" t="s">
        <v>2662</v>
      </c>
      <c r="C138" s="11">
        <v>10</v>
      </c>
      <c r="D138" s="11">
        <v>6</v>
      </c>
    </row>
    <row r="139" spans="1:4">
      <c r="A139" s="11" t="s">
        <v>2665</v>
      </c>
      <c r="B139" s="12" t="s">
        <v>2666</v>
      </c>
      <c r="C139" s="11">
        <v>30</v>
      </c>
      <c r="D139" s="11">
        <v>15</v>
      </c>
    </row>
    <row r="140" spans="1:4">
      <c r="A140" s="11" t="s">
        <v>27</v>
      </c>
      <c r="B140" s="12" t="s">
        <v>28</v>
      </c>
      <c r="C140" s="11">
        <v>1000</v>
      </c>
      <c r="D140" s="11">
        <v>260</v>
      </c>
    </row>
    <row r="141" spans="1:4">
      <c r="A141" s="11" t="s">
        <v>37</v>
      </c>
      <c r="B141" s="12" t="s">
        <v>38</v>
      </c>
      <c r="C141" s="11">
        <v>90</v>
      </c>
      <c r="D141" s="11">
        <v>56</v>
      </c>
    </row>
    <row r="142" spans="1:4">
      <c r="A142" s="11" t="s">
        <v>41</v>
      </c>
      <c r="B142" s="12" t="s">
        <v>42</v>
      </c>
      <c r="C142" s="11">
        <v>1120</v>
      </c>
      <c r="D142" s="11">
        <v>624</v>
      </c>
    </row>
    <row r="143" spans="1:4">
      <c r="A143" s="11" t="s">
        <v>45</v>
      </c>
      <c r="B143" s="12" t="s">
        <v>2674</v>
      </c>
      <c r="C143" s="11">
        <v>11200</v>
      </c>
      <c r="D143" s="11">
        <v>4081</v>
      </c>
    </row>
    <row r="144" spans="1:4">
      <c r="A144" s="11" t="s">
        <v>51</v>
      </c>
      <c r="B144" s="12" t="s">
        <v>52</v>
      </c>
      <c r="C144" s="11">
        <v>300</v>
      </c>
      <c r="D144" s="11">
        <v>133</v>
      </c>
    </row>
    <row r="145" spans="1:4">
      <c r="A145" s="11" t="s">
        <v>65</v>
      </c>
      <c r="B145" s="12" t="s">
        <v>66</v>
      </c>
      <c r="C145" s="11">
        <v>50</v>
      </c>
      <c r="D145" s="11">
        <v>-3</v>
      </c>
    </row>
    <row r="146" spans="1:4">
      <c r="A146" s="11" t="s">
        <v>67</v>
      </c>
      <c r="B146" s="12" t="s">
        <v>68</v>
      </c>
      <c r="C146" s="11">
        <v>50</v>
      </c>
      <c r="D146" s="11">
        <v>-1</v>
      </c>
    </row>
    <row r="147" spans="1:4">
      <c r="A147" s="11" t="s">
        <v>87</v>
      </c>
      <c r="B147" s="12" t="s">
        <v>88</v>
      </c>
      <c r="C147" s="11">
        <v>60</v>
      </c>
      <c r="D147" s="11">
        <v>12</v>
      </c>
    </row>
    <row r="148" spans="1:4">
      <c r="A148" s="11" t="s">
        <v>111</v>
      </c>
      <c r="B148" s="12" t="s">
        <v>112</v>
      </c>
      <c r="C148" s="11">
        <v>1680</v>
      </c>
      <c r="D148" s="11">
        <v>339</v>
      </c>
    </row>
    <row r="149" spans="1:4">
      <c r="A149" s="11" t="s">
        <v>117</v>
      </c>
      <c r="B149" s="12" t="s">
        <v>118</v>
      </c>
      <c r="C149" s="11">
        <v>1200</v>
      </c>
      <c r="D149" s="11">
        <v>650</v>
      </c>
    </row>
    <row r="150" spans="1:4">
      <c r="A150" s="11" t="s">
        <v>123</v>
      </c>
      <c r="B150" s="12" t="s">
        <v>124</v>
      </c>
      <c r="C150" s="11">
        <v>2400</v>
      </c>
      <c r="D150" s="11">
        <v>952</v>
      </c>
    </row>
    <row r="151" spans="1:4">
      <c r="A151" s="11" t="s">
        <v>133</v>
      </c>
      <c r="B151" s="12" t="s">
        <v>134</v>
      </c>
      <c r="C151" s="11">
        <v>420</v>
      </c>
      <c r="D151" s="11">
        <v>362</v>
      </c>
    </row>
    <row r="152" spans="1:4">
      <c r="A152" s="11" t="s">
        <v>181</v>
      </c>
      <c r="B152" s="12" t="s">
        <v>182</v>
      </c>
      <c r="C152" s="11">
        <v>1500</v>
      </c>
      <c r="D152" s="11">
        <v>421</v>
      </c>
    </row>
    <row r="153" spans="1:4">
      <c r="A153" s="11" t="s">
        <v>199</v>
      </c>
      <c r="B153" s="12" t="s">
        <v>200</v>
      </c>
      <c r="C153" s="11">
        <v>1000</v>
      </c>
      <c r="D153" s="11">
        <v>103</v>
      </c>
    </row>
    <row r="154" spans="1:4">
      <c r="A154" s="11" t="s">
        <v>207</v>
      </c>
      <c r="B154" s="12" t="s">
        <v>208</v>
      </c>
      <c r="C154" s="11">
        <v>84</v>
      </c>
      <c r="D154" s="11">
        <v>81</v>
      </c>
    </row>
    <row r="155" spans="1:4">
      <c r="A155" s="11" t="s">
        <v>209</v>
      </c>
      <c r="B155" s="12" t="s">
        <v>210</v>
      </c>
      <c r="C155" s="11">
        <v>30</v>
      </c>
      <c r="D155" s="11">
        <v>1</v>
      </c>
    </row>
    <row r="156" spans="1:4">
      <c r="A156" s="11" t="s">
        <v>231</v>
      </c>
      <c r="B156" s="12" t="s">
        <v>232</v>
      </c>
      <c r="C156" s="11">
        <v>750</v>
      </c>
      <c r="D156" s="11">
        <v>170</v>
      </c>
    </row>
    <row r="157" spans="1:4">
      <c r="A157" s="11" t="s">
        <v>245</v>
      </c>
      <c r="B157" s="12" t="s">
        <v>246</v>
      </c>
      <c r="C157" s="11">
        <v>50</v>
      </c>
      <c r="D157" s="11">
        <v>36</v>
      </c>
    </row>
    <row r="158" spans="1:4">
      <c r="A158" s="11" t="s">
        <v>247</v>
      </c>
      <c r="B158" s="12" t="s">
        <v>248</v>
      </c>
      <c r="C158" s="11">
        <v>360</v>
      </c>
      <c r="D158" s="11">
        <v>146</v>
      </c>
    </row>
    <row r="159" spans="1:4">
      <c r="A159" s="11" t="s">
        <v>257</v>
      </c>
      <c r="B159" s="12" t="s">
        <v>258</v>
      </c>
      <c r="C159" s="11">
        <v>1000</v>
      </c>
      <c r="D159" s="11">
        <v>172</v>
      </c>
    </row>
    <row r="160" spans="1:4">
      <c r="A160" s="11" t="s">
        <v>259</v>
      </c>
      <c r="B160" s="12" t="s">
        <v>260</v>
      </c>
      <c r="C160" s="11">
        <v>360</v>
      </c>
      <c r="D160" s="11">
        <v>40</v>
      </c>
    </row>
    <row r="161" spans="1:4">
      <c r="A161" s="11" t="s">
        <v>267</v>
      </c>
      <c r="B161" s="12" t="s">
        <v>268</v>
      </c>
      <c r="C161" s="11">
        <v>500</v>
      </c>
      <c r="D161" s="11">
        <v>893</v>
      </c>
    </row>
    <row r="162" spans="1:4">
      <c r="A162" s="11" t="s">
        <v>283</v>
      </c>
      <c r="B162" s="12" t="s">
        <v>284</v>
      </c>
      <c r="C162" s="11">
        <v>84</v>
      </c>
      <c r="D162" s="11">
        <v>39</v>
      </c>
    </row>
    <row r="163" spans="1:4">
      <c r="A163" s="11" t="s">
        <v>285</v>
      </c>
      <c r="B163" s="12" t="s">
        <v>286</v>
      </c>
      <c r="C163" s="11">
        <v>252</v>
      </c>
      <c r="D163" s="11">
        <v>135</v>
      </c>
    </row>
    <row r="164" spans="1:4">
      <c r="A164" s="11" t="s">
        <v>307</v>
      </c>
      <c r="B164" s="12" t="s">
        <v>308</v>
      </c>
      <c r="C164" s="11">
        <v>2240</v>
      </c>
      <c r="D164" s="11">
        <v>-174</v>
      </c>
    </row>
    <row r="165" spans="1:4">
      <c r="A165" s="11" t="s">
        <v>311</v>
      </c>
      <c r="B165" s="12" t="s">
        <v>312</v>
      </c>
      <c r="C165" s="11">
        <v>120</v>
      </c>
      <c r="D165" s="11">
        <v>-102</v>
      </c>
    </row>
    <row r="166" spans="1:4">
      <c r="A166" s="11" t="s">
        <v>313</v>
      </c>
      <c r="B166" s="12" t="s">
        <v>314</v>
      </c>
      <c r="C166" s="11">
        <v>1000</v>
      </c>
      <c r="D166" s="11">
        <v>945</v>
      </c>
    </row>
    <row r="167" spans="1:4">
      <c r="A167" s="11" t="s">
        <v>323</v>
      </c>
      <c r="B167" s="12" t="s">
        <v>324</v>
      </c>
      <c r="C167" s="11">
        <v>1000</v>
      </c>
      <c r="D167" s="11">
        <v>975</v>
      </c>
    </row>
    <row r="168" spans="1:4">
      <c r="A168" s="11" t="s">
        <v>325</v>
      </c>
      <c r="B168" s="12" t="s">
        <v>326</v>
      </c>
      <c r="C168" s="11">
        <v>1120</v>
      </c>
      <c r="D168" s="11">
        <v>464</v>
      </c>
    </row>
    <row r="169" spans="1:4">
      <c r="A169" s="11" t="s">
        <v>327</v>
      </c>
      <c r="B169" s="12" t="s">
        <v>328</v>
      </c>
      <c r="C169" s="11">
        <v>3000</v>
      </c>
      <c r="D169" s="11">
        <v>784</v>
      </c>
    </row>
    <row r="170" spans="1:4">
      <c r="A170" s="11" t="s">
        <v>333</v>
      </c>
      <c r="B170" s="12" t="s">
        <v>334</v>
      </c>
      <c r="C170" s="11">
        <v>2920</v>
      </c>
      <c r="D170" s="11">
        <v>667</v>
      </c>
    </row>
    <row r="171" spans="1:4">
      <c r="A171" s="11" t="s">
        <v>341</v>
      </c>
      <c r="B171" s="12" t="s">
        <v>342</v>
      </c>
      <c r="C171" s="11">
        <v>40</v>
      </c>
      <c r="D171" s="11">
        <v>8</v>
      </c>
    </row>
    <row r="172" spans="1:4">
      <c r="A172" s="11" t="s">
        <v>347</v>
      </c>
      <c r="B172" s="12" t="s">
        <v>348</v>
      </c>
      <c r="C172" s="11">
        <v>224</v>
      </c>
      <c r="D172" s="11">
        <v>175</v>
      </c>
    </row>
    <row r="173" spans="1:4">
      <c r="A173" s="11" t="s">
        <v>349</v>
      </c>
      <c r="B173" s="12" t="s">
        <v>350</v>
      </c>
      <c r="C173" s="11">
        <v>252</v>
      </c>
      <c r="D173" s="11">
        <v>94</v>
      </c>
    </row>
    <row r="174" spans="1:4">
      <c r="A174" s="11" t="s">
        <v>355</v>
      </c>
      <c r="B174" s="12" t="s">
        <v>356</v>
      </c>
      <c r="C174" s="11">
        <v>4000</v>
      </c>
      <c r="D174" s="11">
        <v>650</v>
      </c>
    </row>
    <row r="175" spans="1:4">
      <c r="A175" s="11" t="s">
        <v>371</v>
      </c>
      <c r="B175" s="12" t="s">
        <v>372</v>
      </c>
      <c r="C175" s="11">
        <v>28</v>
      </c>
      <c r="D175" s="11">
        <v>187</v>
      </c>
    </row>
    <row r="176" spans="1:4">
      <c r="A176" s="11" t="s">
        <v>389</v>
      </c>
      <c r="B176" s="12" t="s">
        <v>390</v>
      </c>
      <c r="C176" s="11">
        <v>1000</v>
      </c>
      <c r="D176" s="11">
        <v>771</v>
      </c>
    </row>
    <row r="177" spans="1:4">
      <c r="A177" s="11" t="s">
        <v>415</v>
      </c>
      <c r="B177" s="12" t="s">
        <v>416</v>
      </c>
      <c r="C177" s="11">
        <v>1000</v>
      </c>
      <c r="D177" s="11">
        <v>87</v>
      </c>
    </row>
    <row r="178" spans="1:4">
      <c r="A178" s="11" t="s">
        <v>421</v>
      </c>
      <c r="B178" s="12" t="s">
        <v>422</v>
      </c>
      <c r="C178" s="11">
        <v>3528</v>
      </c>
      <c r="D178" s="11">
        <v>1108</v>
      </c>
    </row>
    <row r="179" spans="1:4">
      <c r="A179" s="11" t="s">
        <v>427</v>
      </c>
      <c r="B179" s="12" t="s">
        <v>428</v>
      </c>
      <c r="C179" s="11">
        <v>6000</v>
      </c>
      <c r="D179" s="11">
        <v>2426</v>
      </c>
    </row>
    <row r="180" spans="1:4">
      <c r="A180" s="11" t="s">
        <v>437</v>
      </c>
      <c r="B180" s="12" t="s">
        <v>438</v>
      </c>
      <c r="C180" s="11">
        <v>2400</v>
      </c>
      <c r="D180" s="11">
        <v>940</v>
      </c>
    </row>
    <row r="181" spans="1:4">
      <c r="A181" s="11" t="s">
        <v>465</v>
      </c>
      <c r="B181" s="12" t="s">
        <v>466</v>
      </c>
      <c r="C181" s="11">
        <v>1500</v>
      </c>
      <c r="D181" s="11">
        <v>732</v>
      </c>
    </row>
    <row r="182" spans="1:4">
      <c r="A182" s="11" t="s">
        <v>471</v>
      </c>
      <c r="B182" s="12" t="s">
        <v>472</v>
      </c>
      <c r="C182" s="11">
        <v>280</v>
      </c>
      <c r="D182" s="11">
        <v>241</v>
      </c>
    </row>
    <row r="183" spans="1:4">
      <c r="A183" s="11" t="s">
        <v>499</v>
      </c>
      <c r="B183" s="12" t="s">
        <v>500</v>
      </c>
      <c r="C183" s="11">
        <v>1000</v>
      </c>
      <c r="D183" s="11">
        <v>58</v>
      </c>
    </row>
    <row r="184" spans="1:4">
      <c r="A184" s="11" t="s">
        <v>511</v>
      </c>
      <c r="B184" s="12" t="s">
        <v>512</v>
      </c>
      <c r="C184" s="11">
        <v>4000</v>
      </c>
      <c r="D184" s="11">
        <v>1406</v>
      </c>
    </row>
    <row r="185" spans="1:4">
      <c r="A185" s="11" t="s">
        <v>513</v>
      </c>
      <c r="B185" s="12" t="s">
        <v>514</v>
      </c>
      <c r="C185" s="11">
        <v>1960</v>
      </c>
      <c r="D185" s="11">
        <v>982</v>
      </c>
    </row>
    <row r="186" spans="1:4">
      <c r="A186" s="11" t="s">
        <v>515</v>
      </c>
      <c r="B186" s="12" t="s">
        <v>516</v>
      </c>
      <c r="C186" s="11">
        <v>1200</v>
      </c>
      <c r="D186" s="11">
        <v>735</v>
      </c>
    </row>
    <row r="187" spans="1:4">
      <c r="A187" s="11" t="s">
        <v>519</v>
      </c>
      <c r="B187" s="12" t="s">
        <v>520</v>
      </c>
      <c r="C187" s="11">
        <v>3780</v>
      </c>
      <c r="D187" s="11">
        <v>643</v>
      </c>
    </row>
    <row r="188" spans="1:4">
      <c r="A188" s="11" t="s">
        <v>523</v>
      </c>
      <c r="B188" s="12" t="s">
        <v>524</v>
      </c>
      <c r="C188" s="11">
        <v>600</v>
      </c>
      <c r="D188" s="11">
        <v>281</v>
      </c>
    </row>
    <row r="189" spans="1:4">
      <c r="A189" s="11" t="s">
        <v>527</v>
      </c>
      <c r="B189" s="12" t="s">
        <v>528</v>
      </c>
      <c r="C189" s="11">
        <v>200</v>
      </c>
      <c r="D189" s="11">
        <v>299</v>
      </c>
    </row>
    <row r="190" spans="1:4">
      <c r="A190" s="11" t="s">
        <v>535</v>
      </c>
      <c r="B190" s="12" t="s">
        <v>536</v>
      </c>
      <c r="C190" s="11">
        <v>448</v>
      </c>
      <c r="D190" s="11">
        <v>354</v>
      </c>
    </row>
    <row r="191" spans="1:4">
      <c r="A191" s="11" t="s">
        <v>541</v>
      </c>
      <c r="B191" s="12" t="s">
        <v>542</v>
      </c>
      <c r="C191" s="11">
        <v>1800</v>
      </c>
      <c r="D191" s="11">
        <v>755</v>
      </c>
    </row>
    <row r="192" spans="1:4">
      <c r="A192" s="11" t="s">
        <v>565</v>
      </c>
      <c r="B192" s="12" t="s">
        <v>566</v>
      </c>
      <c r="C192" s="11">
        <v>200</v>
      </c>
      <c r="D192" s="11">
        <v>169</v>
      </c>
    </row>
    <row r="193" spans="1:4">
      <c r="A193" s="11" t="s">
        <v>571</v>
      </c>
      <c r="B193" s="12" t="s">
        <v>572</v>
      </c>
      <c r="C193" s="11">
        <v>558</v>
      </c>
      <c r="D193" s="11">
        <v>417</v>
      </c>
    </row>
    <row r="194" spans="1:4">
      <c r="A194" s="11" t="s">
        <v>579</v>
      </c>
      <c r="B194" s="12" t="s">
        <v>580</v>
      </c>
      <c r="C194" s="11">
        <v>1260</v>
      </c>
      <c r="D194" s="11">
        <v>50</v>
      </c>
    </row>
    <row r="195" spans="1:4">
      <c r="A195" s="11" t="s">
        <v>591</v>
      </c>
      <c r="B195" s="12" t="s">
        <v>592</v>
      </c>
      <c r="C195" s="11">
        <v>270</v>
      </c>
      <c r="D195" s="11">
        <v>-255</v>
      </c>
    </row>
    <row r="196" spans="1:4">
      <c r="A196" s="11" t="s">
        <v>599</v>
      </c>
      <c r="B196" s="12" t="s">
        <v>600</v>
      </c>
      <c r="C196" s="11">
        <v>1000</v>
      </c>
      <c r="D196" s="11">
        <v>1540</v>
      </c>
    </row>
    <row r="197" spans="1:4">
      <c r="A197" s="11" t="s">
        <v>601</v>
      </c>
      <c r="B197" s="12" t="s">
        <v>602</v>
      </c>
      <c r="C197" s="11">
        <v>168</v>
      </c>
      <c r="D197" s="11">
        <v>24</v>
      </c>
    </row>
    <row r="198" spans="1:4">
      <c r="A198" s="11" t="s">
        <v>607</v>
      </c>
      <c r="B198" s="12" t="s">
        <v>608</v>
      </c>
      <c r="C198" s="11">
        <v>1000</v>
      </c>
      <c r="D198" s="11">
        <v>394</v>
      </c>
    </row>
    <row r="199" spans="1:4">
      <c r="A199" s="11" t="s">
        <v>615</v>
      </c>
      <c r="B199" s="12" t="s">
        <v>616</v>
      </c>
      <c r="C199" s="11">
        <v>300</v>
      </c>
      <c r="D199" s="11">
        <v>242</v>
      </c>
    </row>
    <row r="200" spans="1:4">
      <c r="A200" s="11" t="s">
        <v>617</v>
      </c>
      <c r="B200" s="12" t="s">
        <v>618</v>
      </c>
      <c r="C200" s="11">
        <v>24000</v>
      </c>
      <c r="D200" s="11">
        <v>8477</v>
      </c>
    </row>
    <row r="201" spans="1:4">
      <c r="A201" s="11" t="s">
        <v>655</v>
      </c>
      <c r="B201" s="12" t="s">
        <v>656</v>
      </c>
      <c r="C201" s="11">
        <v>1000</v>
      </c>
      <c r="D201" s="11">
        <v>716</v>
      </c>
    </row>
    <row r="202" spans="1:4">
      <c r="A202" s="11" t="s">
        <v>657</v>
      </c>
      <c r="B202" s="12" t="s">
        <v>658</v>
      </c>
      <c r="C202" s="11">
        <v>672</v>
      </c>
      <c r="D202" s="11">
        <v>886</v>
      </c>
    </row>
    <row r="203" spans="1:4">
      <c r="A203" s="11" t="s">
        <v>661</v>
      </c>
      <c r="B203" s="12" t="s">
        <v>662</v>
      </c>
      <c r="C203" s="11">
        <v>2000</v>
      </c>
      <c r="D203" s="11">
        <v>551</v>
      </c>
    </row>
    <row r="204" spans="1:4">
      <c r="A204" s="11" t="s">
        <v>687</v>
      </c>
      <c r="B204" s="12" t="s">
        <v>688</v>
      </c>
      <c r="C204" s="11">
        <v>1000</v>
      </c>
      <c r="D204" s="11">
        <v>294</v>
      </c>
    </row>
    <row r="205" spans="1:4">
      <c r="A205" s="11" t="s">
        <v>691</v>
      </c>
      <c r="B205" s="12" t="s">
        <v>692</v>
      </c>
      <c r="C205" s="11">
        <v>1600</v>
      </c>
      <c r="D205" s="11">
        <v>448</v>
      </c>
    </row>
    <row r="206" spans="1:4">
      <c r="A206" s="11" t="s">
        <v>693</v>
      </c>
      <c r="B206" s="12" t="s">
        <v>694</v>
      </c>
      <c r="C206" s="11">
        <v>1000</v>
      </c>
      <c r="D206" s="11">
        <v>-32</v>
      </c>
    </row>
    <row r="207" spans="1:4">
      <c r="A207" s="11" t="s">
        <v>695</v>
      </c>
      <c r="B207" s="12" t="s">
        <v>696</v>
      </c>
      <c r="C207" s="11">
        <v>840</v>
      </c>
      <c r="D207" s="11">
        <v>184</v>
      </c>
    </row>
    <row r="208" spans="1:4">
      <c r="A208" s="11" t="s">
        <v>717</v>
      </c>
      <c r="B208" s="12" t="s">
        <v>718</v>
      </c>
      <c r="C208" s="11">
        <v>840</v>
      </c>
      <c r="D208" s="11">
        <v>229</v>
      </c>
    </row>
    <row r="209" spans="1:4">
      <c r="A209" s="11" t="s">
        <v>731</v>
      </c>
      <c r="B209" s="12" t="s">
        <v>732</v>
      </c>
      <c r="C209" s="11">
        <v>400</v>
      </c>
      <c r="D209" s="11">
        <v>584</v>
      </c>
    </row>
    <row r="210" spans="1:4">
      <c r="A210" s="11" t="s">
        <v>733</v>
      </c>
      <c r="B210" s="12" t="s">
        <v>734</v>
      </c>
      <c r="C210" s="11">
        <v>224</v>
      </c>
      <c r="D210" s="11">
        <v>58</v>
      </c>
    </row>
    <row r="211" spans="1:4">
      <c r="A211" s="11" t="s">
        <v>737</v>
      </c>
      <c r="B211" s="12" t="s">
        <v>738</v>
      </c>
      <c r="C211" s="11">
        <v>250</v>
      </c>
      <c r="D211" s="11">
        <v>181</v>
      </c>
    </row>
    <row r="212" spans="1:4">
      <c r="A212" s="11" t="s">
        <v>739</v>
      </c>
      <c r="B212" s="12" t="s">
        <v>740</v>
      </c>
      <c r="C212" s="11">
        <v>140</v>
      </c>
      <c r="D212" s="11">
        <v>44</v>
      </c>
    </row>
    <row r="213" spans="1:4">
      <c r="A213" s="11" t="s">
        <v>743</v>
      </c>
      <c r="B213" s="12" t="s">
        <v>744</v>
      </c>
      <c r="C213" s="11">
        <v>840</v>
      </c>
      <c r="D213" s="11">
        <v>413</v>
      </c>
    </row>
    <row r="214" spans="1:4">
      <c r="A214" s="11" t="s">
        <v>755</v>
      </c>
      <c r="B214" s="12" t="s">
        <v>756</v>
      </c>
      <c r="C214" s="11">
        <v>336</v>
      </c>
      <c r="D214" s="11">
        <v>73</v>
      </c>
    </row>
    <row r="215" spans="1:4">
      <c r="A215" s="11" t="s">
        <v>759</v>
      </c>
      <c r="B215" s="12" t="s">
        <v>760</v>
      </c>
      <c r="C215" s="11">
        <v>336</v>
      </c>
      <c r="D215" s="11">
        <v>116</v>
      </c>
    </row>
    <row r="216" spans="1:4">
      <c r="A216" s="11" t="s">
        <v>765</v>
      </c>
      <c r="B216" s="12" t="s">
        <v>766</v>
      </c>
      <c r="C216" s="11">
        <v>30</v>
      </c>
      <c r="D216" s="11">
        <v>-41</v>
      </c>
    </row>
    <row r="217" spans="1:4">
      <c r="A217" s="11" t="s">
        <v>767</v>
      </c>
      <c r="B217" s="12" t="s">
        <v>768</v>
      </c>
      <c r="C217" s="11">
        <v>40</v>
      </c>
      <c r="D217" s="11">
        <v>28</v>
      </c>
    </row>
    <row r="218" spans="1:4">
      <c r="A218" s="11" t="s">
        <v>787</v>
      </c>
      <c r="B218" s="12" t="s">
        <v>2675</v>
      </c>
      <c r="C218" s="11">
        <v>336</v>
      </c>
      <c r="D218" s="11">
        <v>392</v>
      </c>
    </row>
    <row r="219" spans="1:4">
      <c r="A219" s="11" t="s">
        <v>793</v>
      </c>
      <c r="B219" s="12" t="s">
        <v>794</v>
      </c>
      <c r="C219" s="11">
        <v>252</v>
      </c>
      <c r="D219" s="11">
        <v>236</v>
      </c>
    </row>
    <row r="220" spans="1:4">
      <c r="A220" s="11" t="s">
        <v>835</v>
      </c>
      <c r="B220" s="12" t="s">
        <v>836</v>
      </c>
      <c r="C220" s="11">
        <v>500</v>
      </c>
      <c r="D220" s="11">
        <v>191</v>
      </c>
    </row>
    <row r="221" spans="1:4">
      <c r="A221" s="11" t="s">
        <v>853</v>
      </c>
      <c r="B221" s="12" t="s">
        <v>854</v>
      </c>
      <c r="C221" s="11">
        <v>84</v>
      </c>
      <c r="D221" s="11">
        <v>5</v>
      </c>
    </row>
    <row r="222" spans="1:4">
      <c r="A222" s="11" t="s">
        <v>859</v>
      </c>
      <c r="B222" s="12" t="s">
        <v>860</v>
      </c>
      <c r="C222" s="11">
        <v>1008</v>
      </c>
      <c r="D222" s="11">
        <v>462</v>
      </c>
    </row>
    <row r="223" spans="1:4">
      <c r="A223" s="11" t="s">
        <v>877</v>
      </c>
      <c r="B223" s="12" t="s">
        <v>878</v>
      </c>
      <c r="C223" s="11">
        <v>8000</v>
      </c>
      <c r="D223" s="11">
        <v>2690</v>
      </c>
    </row>
    <row r="224" spans="1:4">
      <c r="A224" s="11" t="s">
        <v>889</v>
      </c>
      <c r="B224" s="12" t="s">
        <v>890</v>
      </c>
      <c r="C224" s="11">
        <v>308</v>
      </c>
      <c r="D224" s="11">
        <v>258</v>
      </c>
    </row>
    <row r="225" spans="1:4">
      <c r="A225" s="11" t="s">
        <v>909</v>
      </c>
      <c r="B225" s="12" t="s">
        <v>910</v>
      </c>
      <c r="C225" s="11">
        <v>100</v>
      </c>
      <c r="D225" s="11">
        <v>167</v>
      </c>
    </row>
    <row r="226" spans="1:4">
      <c r="A226" s="11" t="s">
        <v>935</v>
      </c>
      <c r="B226" s="12" t="s">
        <v>936</v>
      </c>
      <c r="C226" s="11">
        <v>1000</v>
      </c>
      <c r="D226" s="11">
        <v>152</v>
      </c>
    </row>
    <row r="227" spans="1:4">
      <c r="A227" s="11" t="s">
        <v>937</v>
      </c>
      <c r="B227" s="12" t="s">
        <v>938</v>
      </c>
      <c r="C227" s="11">
        <v>1000</v>
      </c>
      <c r="D227" s="11">
        <v>165</v>
      </c>
    </row>
    <row r="228" spans="1:4">
      <c r="A228" s="11" t="s">
        <v>961</v>
      </c>
      <c r="B228" s="12" t="s">
        <v>962</v>
      </c>
      <c r="C228" s="11">
        <v>100</v>
      </c>
      <c r="D228" s="11">
        <v>12</v>
      </c>
    </row>
    <row r="229" spans="1:4">
      <c r="A229" s="11" t="s">
        <v>967</v>
      </c>
      <c r="B229" s="12" t="s">
        <v>968</v>
      </c>
      <c r="C229" s="11">
        <v>700</v>
      </c>
      <c r="D229" s="11">
        <v>149</v>
      </c>
    </row>
    <row r="230" spans="1:4">
      <c r="A230" s="11" t="s">
        <v>969</v>
      </c>
      <c r="B230" s="12" t="s">
        <v>970</v>
      </c>
      <c r="C230" s="11">
        <v>40</v>
      </c>
      <c r="D230" s="11">
        <v>8</v>
      </c>
    </row>
    <row r="231" spans="1:4">
      <c r="A231" s="11" t="s">
        <v>1009</v>
      </c>
      <c r="B231" s="12" t="s">
        <v>1010</v>
      </c>
      <c r="C231" s="11">
        <v>112</v>
      </c>
      <c r="D231" s="11">
        <v>77</v>
      </c>
    </row>
    <row r="232" spans="1:4">
      <c r="A232" s="11" t="s">
        <v>1013</v>
      </c>
      <c r="B232" s="12" t="s">
        <v>1014</v>
      </c>
      <c r="C232" s="11">
        <v>12000</v>
      </c>
      <c r="D232" s="11">
        <v>4982</v>
      </c>
    </row>
    <row r="233" spans="1:4">
      <c r="A233" s="11" t="s">
        <v>1017</v>
      </c>
      <c r="B233" s="12" t="s">
        <v>1018</v>
      </c>
      <c r="C233" s="11">
        <v>2000</v>
      </c>
      <c r="D233" s="11">
        <v>503</v>
      </c>
    </row>
    <row r="234" spans="1:4">
      <c r="A234" s="11" t="s">
        <v>1031</v>
      </c>
      <c r="B234" s="12" t="s">
        <v>1032</v>
      </c>
      <c r="C234" s="11">
        <v>80</v>
      </c>
      <c r="D234" s="11">
        <v>36</v>
      </c>
    </row>
    <row r="235" spans="1:4">
      <c r="A235" s="11" t="s">
        <v>1051</v>
      </c>
      <c r="B235" s="12" t="s">
        <v>1052</v>
      </c>
      <c r="C235" s="11">
        <v>2520</v>
      </c>
      <c r="D235" s="11">
        <v>804</v>
      </c>
    </row>
    <row r="236" spans="1:4">
      <c r="A236" s="11" t="s">
        <v>1069</v>
      </c>
      <c r="B236" s="12" t="s">
        <v>1070</v>
      </c>
      <c r="C236" s="11">
        <v>360</v>
      </c>
      <c r="D236" s="11">
        <v>55</v>
      </c>
    </row>
    <row r="237" spans="1:4">
      <c r="A237" s="11" t="s">
        <v>1079</v>
      </c>
      <c r="B237" s="12" t="s">
        <v>1080</v>
      </c>
      <c r="C237" s="11">
        <v>600</v>
      </c>
      <c r="D237" s="11">
        <v>240</v>
      </c>
    </row>
    <row r="238" spans="1:4">
      <c r="A238" s="11" t="s">
        <v>1095</v>
      </c>
      <c r="B238" s="12" t="s">
        <v>1096</v>
      </c>
      <c r="C238" s="11">
        <v>16</v>
      </c>
      <c r="D238" s="11">
        <v>8</v>
      </c>
    </row>
    <row r="239" spans="1:4">
      <c r="A239" s="11" t="s">
        <v>1111</v>
      </c>
      <c r="B239" s="12" t="s">
        <v>1112</v>
      </c>
      <c r="C239" s="11">
        <v>1000</v>
      </c>
      <c r="D239" s="11">
        <v>85</v>
      </c>
    </row>
    <row r="240" spans="1:4">
      <c r="A240" s="11" t="s">
        <v>1141</v>
      </c>
      <c r="B240" s="12" t="s">
        <v>1142</v>
      </c>
      <c r="C240" s="11">
        <v>112</v>
      </c>
      <c r="D240" s="11">
        <v>8</v>
      </c>
    </row>
    <row r="241" spans="1:4">
      <c r="A241" s="11" t="s">
        <v>1147</v>
      </c>
      <c r="B241" s="12" t="s">
        <v>1148</v>
      </c>
      <c r="C241" s="11">
        <v>300</v>
      </c>
      <c r="D241" s="11">
        <v>184</v>
      </c>
    </row>
    <row r="242" spans="1:4">
      <c r="A242" s="11" t="s">
        <v>1173</v>
      </c>
      <c r="B242" s="12" t="s">
        <v>1174</v>
      </c>
      <c r="C242" s="11">
        <v>1200</v>
      </c>
      <c r="D242" s="11">
        <v>805</v>
      </c>
    </row>
    <row r="243" spans="1:4">
      <c r="A243" s="11" t="s">
        <v>1177</v>
      </c>
      <c r="B243" s="12" t="s">
        <v>1178</v>
      </c>
      <c r="C243" s="11">
        <v>30</v>
      </c>
      <c r="D243" s="11">
        <v>48</v>
      </c>
    </row>
    <row r="244" spans="1:4">
      <c r="A244" s="11" t="s">
        <v>1189</v>
      </c>
      <c r="B244" s="12" t="s">
        <v>1190</v>
      </c>
      <c r="C244" s="11">
        <v>480</v>
      </c>
      <c r="D244" s="11">
        <v>28</v>
      </c>
    </row>
    <row r="245" spans="1:4">
      <c r="A245" s="11" t="s">
        <v>1191</v>
      </c>
      <c r="B245" s="12" t="s">
        <v>1192</v>
      </c>
      <c r="C245" s="11">
        <v>720</v>
      </c>
      <c r="D245" s="11">
        <v>163</v>
      </c>
    </row>
    <row r="246" spans="1:4">
      <c r="A246" s="11" t="s">
        <v>1221</v>
      </c>
      <c r="B246" s="12" t="s">
        <v>1222</v>
      </c>
      <c r="C246" s="11">
        <v>900</v>
      </c>
      <c r="D246" s="11">
        <v>552</v>
      </c>
    </row>
    <row r="247" spans="1:4">
      <c r="A247" s="11" t="s">
        <v>1233</v>
      </c>
      <c r="B247" s="12" t="s">
        <v>1234</v>
      </c>
      <c r="C247" s="11">
        <v>400</v>
      </c>
      <c r="D247" s="11">
        <v>353</v>
      </c>
    </row>
    <row r="248" spans="1:4">
      <c r="A248" s="11" t="s">
        <v>1241</v>
      </c>
      <c r="B248" s="12" t="s">
        <v>1242</v>
      </c>
      <c r="C248" s="11">
        <v>189</v>
      </c>
      <c r="D248" s="11">
        <v>25</v>
      </c>
    </row>
    <row r="249" spans="1:4">
      <c r="A249" s="11" t="s">
        <v>1245</v>
      </c>
      <c r="B249" s="12" t="s">
        <v>1246</v>
      </c>
      <c r="C249" s="11">
        <v>168</v>
      </c>
      <c r="D249" s="11">
        <v>37</v>
      </c>
    </row>
    <row r="250" spans="1:4">
      <c r="A250" s="11" t="s">
        <v>1257</v>
      </c>
      <c r="B250" s="12" t="s">
        <v>1258</v>
      </c>
      <c r="C250" s="11">
        <v>360</v>
      </c>
      <c r="D250" s="11">
        <v>142</v>
      </c>
    </row>
    <row r="251" spans="1:4">
      <c r="A251" s="11" t="s">
        <v>1263</v>
      </c>
      <c r="B251" s="12" t="s">
        <v>1264</v>
      </c>
      <c r="C251" s="11">
        <v>280</v>
      </c>
      <c r="D251" s="11">
        <v>213</v>
      </c>
    </row>
    <row r="252" spans="1:4">
      <c r="A252" s="11" t="s">
        <v>1285</v>
      </c>
      <c r="B252" s="12" t="s">
        <v>1286</v>
      </c>
      <c r="C252" s="11">
        <v>25</v>
      </c>
      <c r="D252" s="11">
        <v>17</v>
      </c>
    </row>
    <row r="253" spans="1:4">
      <c r="A253" s="11" t="s">
        <v>1295</v>
      </c>
      <c r="B253" s="12" t="s">
        <v>1296</v>
      </c>
      <c r="C253" s="11">
        <v>400</v>
      </c>
      <c r="D253" s="11">
        <v>350</v>
      </c>
    </row>
    <row r="254" spans="1:4">
      <c r="A254" s="11" t="s">
        <v>1315</v>
      </c>
      <c r="B254" s="12" t="s">
        <v>1316</v>
      </c>
      <c r="C254" s="11">
        <v>1680</v>
      </c>
      <c r="D254" s="11">
        <v>715</v>
      </c>
    </row>
    <row r="255" spans="1:4">
      <c r="A255" s="11" t="s">
        <v>1317</v>
      </c>
      <c r="B255" s="12" t="s">
        <v>1318</v>
      </c>
      <c r="C255" s="11">
        <v>360</v>
      </c>
      <c r="D255" s="11">
        <v>268</v>
      </c>
    </row>
    <row r="256" spans="1:4">
      <c r="A256" s="11" t="s">
        <v>1321</v>
      </c>
      <c r="B256" s="12" t="s">
        <v>1322</v>
      </c>
      <c r="C256" s="11">
        <v>840</v>
      </c>
      <c r="D256" s="11">
        <v>333</v>
      </c>
    </row>
    <row r="257" spans="1:4">
      <c r="A257" s="11" t="s">
        <v>1323</v>
      </c>
      <c r="B257" s="12" t="s">
        <v>1324</v>
      </c>
      <c r="C257" s="11">
        <v>420</v>
      </c>
      <c r="D257" s="11">
        <v>166</v>
      </c>
    </row>
    <row r="258" spans="1:4">
      <c r="A258" s="11" t="s">
        <v>1325</v>
      </c>
      <c r="B258" s="12" t="s">
        <v>1326</v>
      </c>
      <c r="C258" s="11">
        <v>140</v>
      </c>
      <c r="D258" s="11">
        <v>44</v>
      </c>
    </row>
    <row r="259" spans="1:4">
      <c r="A259" s="11" t="s">
        <v>1327</v>
      </c>
      <c r="B259" s="12" t="s">
        <v>1328</v>
      </c>
      <c r="C259" s="11">
        <v>280</v>
      </c>
      <c r="D259" s="11">
        <v>12</v>
      </c>
    </row>
    <row r="260" spans="1:4">
      <c r="A260" s="11" t="s">
        <v>1333</v>
      </c>
      <c r="B260" s="12" t="s">
        <v>1334</v>
      </c>
      <c r="C260" s="11">
        <v>200</v>
      </c>
      <c r="D260" s="11">
        <v>194</v>
      </c>
    </row>
    <row r="261" spans="1:4">
      <c r="A261" s="11" t="s">
        <v>1349</v>
      </c>
      <c r="B261" s="12" t="s">
        <v>1350</v>
      </c>
      <c r="C261" s="11">
        <v>5000</v>
      </c>
      <c r="D261" s="11">
        <v>1911</v>
      </c>
    </row>
    <row r="262" spans="1:4">
      <c r="A262" s="11" t="s">
        <v>1361</v>
      </c>
      <c r="B262" s="12" t="s">
        <v>1362</v>
      </c>
      <c r="C262" s="11">
        <v>56</v>
      </c>
      <c r="D262" s="11">
        <v>122</v>
      </c>
    </row>
    <row r="263" spans="1:4">
      <c r="A263" s="11" t="s">
        <v>1363</v>
      </c>
      <c r="B263" s="12" t="s">
        <v>1364</v>
      </c>
      <c r="C263" s="11">
        <v>1680</v>
      </c>
      <c r="D263" s="11">
        <v>373</v>
      </c>
    </row>
    <row r="264" spans="1:4">
      <c r="A264" s="11" t="s">
        <v>1369</v>
      </c>
      <c r="B264" s="12" t="s">
        <v>1370</v>
      </c>
      <c r="C264" s="11">
        <v>200</v>
      </c>
      <c r="D264" s="11">
        <v>237</v>
      </c>
    </row>
    <row r="265" spans="1:4">
      <c r="A265" s="11" t="s">
        <v>1387</v>
      </c>
      <c r="B265" s="12" t="s">
        <v>1388</v>
      </c>
      <c r="C265" s="11">
        <v>1000</v>
      </c>
      <c r="D265" s="11">
        <v>1451</v>
      </c>
    </row>
    <row r="266" spans="1:4">
      <c r="A266" s="11" t="s">
        <v>1389</v>
      </c>
      <c r="B266" s="12" t="s">
        <v>1390</v>
      </c>
      <c r="C266" s="11">
        <v>1000</v>
      </c>
      <c r="D266" s="11">
        <v>763</v>
      </c>
    </row>
    <row r="267" spans="1:4">
      <c r="A267" s="11" t="s">
        <v>1395</v>
      </c>
      <c r="B267" s="12" t="s">
        <v>1396</v>
      </c>
      <c r="C267" s="11">
        <v>500</v>
      </c>
      <c r="D267" s="11">
        <v>540</v>
      </c>
    </row>
    <row r="268" spans="1:4">
      <c r="A268" s="11" t="s">
        <v>1423</v>
      </c>
      <c r="B268" s="12" t="s">
        <v>1424</v>
      </c>
      <c r="C268" s="11">
        <v>6000</v>
      </c>
      <c r="D268" s="11">
        <v>3021</v>
      </c>
    </row>
    <row r="269" spans="1:4">
      <c r="A269" s="11" t="s">
        <v>1441</v>
      </c>
      <c r="B269" s="12" t="s">
        <v>1442</v>
      </c>
      <c r="C269" s="11">
        <v>500</v>
      </c>
      <c r="D269" s="11">
        <v>593</v>
      </c>
    </row>
    <row r="270" spans="1:4">
      <c r="A270" s="11" t="s">
        <v>1463</v>
      </c>
      <c r="B270" s="12" t="s">
        <v>1464</v>
      </c>
      <c r="C270" s="11">
        <v>5040</v>
      </c>
      <c r="D270" s="11">
        <v>1986</v>
      </c>
    </row>
    <row r="271" spans="1:4">
      <c r="A271" s="11" t="s">
        <v>1479</v>
      </c>
      <c r="B271" s="12" t="s">
        <v>1480</v>
      </c>
      <c r="C271" s="11">
        <v>7560</v>
      </c>
      <c r="D271" s="11">
        <v>4261</v>
      </c>
    </row>
    <row r="272" spans="1:4">
      <c r="A272" s="11" t="s">
        <v>1497</v>
      </c>
      <c r="B272" s="12" t="s">
        <v>1498</v>
      </c>
      <c r="C272" s="11">
        <v>180</v>
      </c>
      <c r="D272" s="11">
        <v>68</v>
      </c>
    </row>
    <row r="273" spans="1:4">
      <c r="A273" s="11" t="s">
        <v>1507</v>
      </c>
      <c r="B273" s="12" t="s">
        <v>1508</v>
      </c>
      <c r="C273" s="11">
        <v>168</v>
      </c>
      <c r="D273" s="11">
        <v>186</v>
      </c>
    </row>
    <row r="274" spans="1:4">
      <c r="A274" s="11" t="s">
        <v>1511</v>
      </c>
      <c r="B274" s="12" t="s">
        <v>1512</v>
      </c>
      <c r="C274" s="11">
        <v>1200</v>
      </c>
      <c r="D274" s="11">
        <v>-717</v>
      </c>
    </row>
    <row r="275" spans="1:4">
      <c r="A275" s="11" t="s">
        <v>1517</v>
      </c>
      <c r="B275" s="12" t="s">
        <v>1518</v>
      </c>
      <c r="C275" s="11">
        <v>500</v>
      </c>
      <c r="D275" s="11">
        <v>433</v>
      </c>
    </row>
    <row r="276" spans="1:4">
      <c r="A276" s="11" t="s">
        <v>1521</v>
      </c>
      <c r="B276" s="12" t="s">
        <v>1522</v>
      </c>
      <c r="C276" s="11">
        <v>300</v>
      </c>
      <c r="D276" s="11">
        <v>167</v>
      </c>
    </row>
    <row r="277" spans="1:4">
      <c r="A277" s="11" t="s">
        <v>1525</v>
      </c>
      <c r="B277" s="12" t="s">
        <v>1526</v>
      </c>
      <c r="C277" s="11">
        <v>5</v>
      </c>
      <c r="D277" s="11">
        <v>0</v>
      </c>
    </row>
    <row r="278" spans="1:4">
      <c r="A278" s="11" t="s">
        <v>1547</v>
      </c>
      <c r="B278" s="12" t="s">
        <v>1548</v>
      </c>
      <c r="C278" s="11">
        <v>360</v>
      </c>
      <c r="D278" s="11">
        <v>53</v>
      </c>
    </row>
    <row r="279" spans="1:4">
      <c r="A279" s="11" t="s">
        <v>1557</v>
      </c>
      <c r="B279" s="12" t="s">
        <v>1558</v>
      </c>
      <c r="C279" s="11">
        <v>600</v>
      </c>
      <c r="D279" s="11">
        <v>759</v>
      </c>
    </row>
    <row r="280" spans="1:4">
      <c r="A280" s="11" t="s">
        <v>1559</v>
      </c>
      <c r="B280" s="12" t="s">
        <v>1560</v>
      </c>
      <c r="C280" s="11">
        <v>100</v>
      </c>
      <c r="D280" s="11">
        <v>88</v>
      </c>
    </row>
    <row r="281" spans="1:4">
      <c r="A281" s="11" t="s">
        <v>1561</v>
      </c>
      <c r="B281" s="12" t="s">
        <v>1562</v>
      </c>
      <c r="C281" s="11">
        <v>980</v>
      </c>
      <c r="D281" s="11">
        <v>381</v>
      </c>
    </row>
    <row r="282" spans="1:4">
      <c r="A282" s="11" t="s">
        <v>1571</v>
      </c>
      <c r="B282" s="12" t="s">
        <v>1572</v>
      </c>
      <c r="C282" s="11">
        <v>560</v>
      </c>
      <c r="D282" s="11">
        <v>361</v>
      </c>
    </row>
    <row r="283" spans="1:4">
      <c r="A283" s="11" t="s">
        <v>1579</v>
      </c>
      <c r="B283" s="12" t="s">
        <v>1580</v>
      </c>
      <c r="C283" s="11">
        <v>100</v>
      </c>
      <c r="D283" s="11">
        <v>10</v>
      </c>
    </row>
    <row r="284" spans="1:4">
      <c r="A284" s="11" t="s">
        <v>1601</v>
      </c>
      <c r="B284" s="12" t="s">
        <v>1602</v>
      </c>
      <c r="C284" s="11">
        <v>3276</v>
      </c>
      <c r="D284" s="11">
        <v>1996</v>
      </c>
    </row>
    <row r="285" spans="1:4">
      <c r="A285" s="11" t="s">
        <v>1629</v>
      </c>
      <c r="B285" s="12" t="s">
        <v>1630</v>
      </c>
      <c r="C285" s="11">
        <v>3000</v>
      </c>
      <c r="D285" s="11">
        <v>524</v>
      </c>
    </row>
    <row r="286" spans="1:4">
      <c r="A286" s="11" t="s">
        <v>1631</v>
      </c>
      <c r="B286" s="12" t="s">
        <v>1632</v>
      </c>
      <c r="C286" s="11">
        <v>360</v>
      </c>
      <c r="D286" s="11">
        <v>119</v>
      </c>
    </row>
    <row r="287" spans="1:4">
      <c r="A287" s="11" t="s">
        <v>1685</v>
      </c>
      <c r="B287" s="12" t="s">
        <v>1686</v>
      </c>
      <c r="C287" s="11">
        <v>4200</v>
      </c>
      <c r="D287" s="11">
        <v>1419</v>
      </c>
    </row>
    <row r="288" spans="1:4">
      <c r="A288" s="11" t="s">
        <v>1691</v>
      </c>
      <c r="B288" s="12" t="s">
        <v>1692</v>
      </c>
      <c r="C288" s="11">
        <v>140</v>
      </c>
      <c r="D288" s="11">
        <v>39</v>
      </c>
    </row>
    <row r="289" spans="1:4">
      <c r="A289" s="11" t="s">
        <v>1701</v>
      </c>
      <c r="B289" s="12" t="s">
        <v>1702</v>
      </c>
      <c r="C289" s="11">
        <v>1000</v>
      </c>
      <c r="D289" s="11">
        <v>385</v>
      </c>
    </row>
    <row r="290" spans="1:4">
      <c r="A290" s="11" t="s">
        <v>1703</v>
      </c>
      <c r="B290" s="12" t="s">
        <v>1704</v>
      </c>
      <c r="C290" s="11">
        <v>120</v>
      </c>
      <c r="D290" s="11">
        <v>14</v>
      </c>
    </row>
    <row r="291" spans="1:4">
      <c r="A291" s="11" t="s">
        <v>1729</v>
      </c>
      <c r="B291" s="12" t="s">
        <v>1730</v>
      </c>
      <c r="C291" s="11">
        <v>1000</v>
      </c>
      <c r="D291" s="11">
        <v>1198</v>
      </c>
    </row>
    <row r="292" spans="1:4">
      <c r="A292" s="11" t="s">
        <v>1745</v>
      </c>
      <c r="B292" s="12" t="s">
        <v>1746</v>
      </c>
      <c r="C292" s="11">
        <v>540</v>
      </c>
      <c r="D292" s="11">
        <v>402</v>
      </c>
    </row>
    <row r="293" spans="1:4">
      <c r="A293" s="11" t="s">
        <v>1747</v>
      </c>
      <c r="B293" s="12" t="s">
        <v>1748</v>
      </c>
      <c r="C293" s="11">
        <v>2688</v>
      </c>
      <c r="D293" s="11">
        <v>707</v>
      </c>
    </row>
    <row r="294" spans="1:4">
      <c r="A294" s="11" t="s">
        <v>1751</v>
      </c>
      <c r="B294" s="12" t="s">
        <v>1752</v>
      </c>
      <c r="C294" s="11">
        <v>1000</v>
      </c>
      <c r="D294" s="11">
        <v>342</v>
      </c>
    </row>
    <row r="295" spans="1:4">
      <c r="A295" s="11" t="s">
        <v>1755</v>
      </c>
      <c r="B295" s="12" t="s">
        <v>1756</v>
      </c>
      <c r="C295" s="11">
        <v>30</v>
      </c>
      <c r="D295" s="11">
        <v>17</v>
      </c>
    </row>
    <row r="296" spans="1:4">
      <c r="A296" s="11" t="s">
        <v>1773</v>
      </c>
      <c r="B296" s="12" t="s">
        <v>1774</v>
      </c>
      <c r="C296" s="11">
        <v>120</v>
      </c>
      <c r="D296" s="11">
        <v>105</v>
      </c>
    </row>
    <row r="297" spans="1:4">
      <c r="A297" s="11" t="s">
        <v>1823</v>
      </c>
      <c r="B297" s="12" t="s">
        <v>1824</v>
      </c>
      <c r="C297" s="11">
        <v>500</v>
      </c>
      <c r="D297" s="11">
        <v>890</v>
      </c>
    </row>
    <row r="298" spans="1:4">
      <c r="A298" s="11" t="s">
        <v>1825</v>
      </c>
      <c r="B298" s="12" t="s">
        <v>1826</v>
      </c>
      <c r="C298" s="11">
        <v>400</v>
      </c>
      <c r="D298" s="11">
        <v>143</v>
      </c>
    </row>
    <row r="299" spans="1:4">
      <c r="A299" s="11" t="s">
        <v>1831</v>
      </c>
      <c r="B299" s="12" t="s">
        <v>1832</v>
      </c>
      <c r="C299" s="11">
        <v>2000</v>
      </c>
      <c r="D299" s="11">
        <v>510</v>
      </c>
    </row>
    <row r="300" spans="1:4">
      <c r="A300" s="11" t="s">
        <v>1841</v>
      </c>
      <c r="B300" s="12" t="s">
        <v>1842</v>
      </c>
      <c r="C300" s="11">
        <v>150</v>
      </c>
      <c r="D300" s="11">
        <v>94</v>
      </c>
    </row>
    <row r="301" spans="1:4">
      <c r="A301" s="11" t="s">
        <v>1849</v>
      </c>
      <c r="B301" s="12" t="s">
        <v>1850</v>
      </c>
      <c r="C301" s="11">
        <v>2000</v>
      </c>
      <c r="D301" s="11">
        <v>477</v>
      </c>
    </row>
    <row r="302" spans="1:4">
      <c r="A302" s="11" t="s">
        <v>1857</v>
      </c>
      <c r="B302" s="12" t="s">
        <v>1858</v>
      </c>
      <c r="C302" s="11">
        <v>84</v>
      </c>
      <c r="D302" s="11">
        <v>57</v>
      </c>
    </row>
    <row r="303" spans="1:4">
      <c r="A303" s="11" t="s">
        <v>1871</v>
      </c>
      <c r="B303" s="12" t="s">
        <v>1872</v>
      </c>
      <c r="C303" s="11">
        <v>3000</v>
      </c>
      <c r="D303" s="11">
        <v>1124</v>
      </c>
    </row>
    <row r="304" spans="1:4">
      <c r="A304" s="11" t="s">
        <v>1885</v>
      </c>
      <c r="B304" s="12" t="s">
        <v>1886</v>
      </c>
      <c r="C304" s="11">
        <v>900</v>
      </c>
      <c r="D304" s="11">
        <v>453</v>
      </c>
    </row>
    <row r="305" spans="1:4">
      <c r="A305" s="11" t="s">
        <v>1901</v>
      </c>
      <c r="B305" s="12" t="s">
        <v>1902</v>
      </c>
      <c r="C305" s="11">
        <v>28</v>
      </c>
      <c r="D305" s="11">
        <v>26</v>
      </c>
    </row>
    <row r="306" spans="1:4">
      <c r="A306" s="11" t="s">
        <v>1903</v>
      </c>
      <c r="B306" s="12" t="s">
        <v>1904</v>
      </c>
      <c r="C306" s="11">
        <v>126</v>
      </c>
      <c r="D306" s="11">
        <v>32</v>
      </c>
    </row>
    <row r="307" spans="1:4">
      <c r="A307" s="11" t="s">
        <v>1915</v>
      </c>
      <c r="B307" s="12" t="s">
        <v>1916</v>
      </c>
      <c r="C307" s="11">
        <v>56</v>
      </c>
      <c r="D307" s="11">
        <v>10</v>
      </c>
    </row>
    <row r="308" spans="1:4">
      <c r="A308" s="11" t="s">
        <v>1919</v>
      </c>
      <c r="B308" s="12" t="s">
        <v>1920</v>
      </c>
      <c r="C308" s="11">
        <v>300</v>
      </c>
      <c r="D308" s="11">
        <v>191</v>
      </c>
    </row>
    <row r="309" spans="1:4">
      <c r="A309" s="11" t="s">
        <v>1925</v>
      </c>
      <c r="B309" s="12" t="s">
        <v>1926</v>
      </c>
      <c r="C309" s="11">
        <v>1680</v>
      </c>
      <c r="D309" s="11">
        <v>423</v>
      </c>
    </row>
    <row r="310" spans="1:4">
      <c r="A310" s="11" t="s">
        <v>2001</v>
      </c>
      <c r="B310" s="12" t="s">
        <v>2002</v>
      </c>
      <c r="C310" s="11">
        <v>1000</v>
      </c>
      <c r="D310" s="11">
        <v>797</v>
      </c>
    </row>
    <row r="311" spans="1:4">
      <c r="A311" s="11" t="s">
        <v>2013</v>
      </c>
      <c r="B311" s="12" t="s">
        <v>2014</v>
      </c>
      <c r="C311" s="11">
        <v>30</v>
      </c>
      <c r="D311" s="11">
        <v>4</v>
      </c>
    </row>
    <row r="312" spans="1:4">
      <c r="A312" s="11" t="s">
        <v>2035</v>
      </c>
      <c r="B312" s="12" t="s">
        <v>2036</v>
      </c>
      <c r="C312" s="11">
        <v>360</v>
      </c>
      <c r="D312" s="11">
        <v>220</v>
      </c>
    </row>
    <row r="313" spans="1:4">
      <c r="A313" s="11" t="s">
        <v>2043</v>
      </c>
      <c r="B313" s="12" t="s">
        <v>2044</v>
      </c>
      <c r="C313" s="11">
        <v>20</v>
      </c>
      <c r="D313" s="11">
        <v>18</v>
      </c>
    </row>
    <row r="314" spans="1:4">
      <c r="A314" s="11" t="s">
        <v>2049</v>
      </c>
      <c r="B314" s="12" t="s">
        <v>2050</v>
      </c>
      <c r="C314" s="11">
        <v>1344</v>
      </c>
      <c r="D314" s="11">
        <v>446</v>
      </c>
    </row>
    <row r="315" spans="1:4">
      <c r="A315" s="11" t="s">
        <v>2055</v>
      </c>
      <c r="B315" s="12" t="s">
        <v>2056</v>
      </c>
      <c r="C315" s="11">
        <v>1000</v>
      </c>
      <c r="D315" s="11">
        <v>950</v>
      </c>
    </row>
    <row r="316" spans="1:4">
      <c r="A316" s="11" t="s">
        <v>2091</v>
      </c>
      <c r="B316" s="12" t="s">
        <v>2092</v>
      </c>
      <c r="C316" s="11">
        <v>224</v>
      </c>
      <c r="D316" s="11">
        <v>136</v>
      </c>
    </row>
    <row r="317" spans="1:4">
      <c r="A317" s="11" t="s">
        <v>2095</v>
      </c>
      <c r="B317" s="12" t="s">
        <v>2096</v>
      </c>
      <c r="C317" s="11">
        <v>28</v>
      </c>
      <c r="D317" s="11">
        <v>19</v>
      </c>
    </row>
    <row r="318" spans="1:4">
      <c r="A318" s="11" t="s">
        <v>2099</v>
      </c>
      <c r="B318" s="12" t="s">
        <v>2100</v>
      </c>
      <c r="C318" s="11">
        <v>300</v>
      </c>
      <c r="D318" s="11">
        <v>237</v>
      </c>
    </row>
    <row r="319" spans="1:4">
      <c r="A319" s="11" t="s">
        <v>2105</v>
      </c>
      <c r="B319" s="12" t="s">
        <v>2106</v>
      </c>
      <c r="C319" s="11">
        <v>3000</v>
      </c>
      <c r="D319" s="11">
        <v>1421</v>
      </c>
    </row>
    <row r="320" spans="1:4">
      <c r="A320" s="11" t="s">
        <v>2123</v>
      </c>
      <c r="B320" s="12" t="s">
        <v>2124</v>
      </c>
      <c r="C320" s="11">
        <v>2000</v>
      </c>
      <c r="D320" s="11">
        <v>756</v>
      </c>
    </row>
    <row r="321" spans="1:4">
      <c r="A321" s="11" t="s">
        <v>2129</v>
      </c>
      <c r="B321" s="12" t="s">
        <v>2130</v>
      </c>
      <c r="C321" s="11">
        <v>2000</v>
      </c>
      <c r="D321" s="11">
        <v>1129</v>
      </c>
    </row>
    <row r="322" spans="1:4">
      <c r="A322" s="11" t="s">
        <v>2167</v>
      </c>
      <c r="B322" s="12" t="s">
        <v>2168</v>
      </c>
      <c r="C322" s="11">
        <v>1000</v>
      </c>
      <c r="D322" s="11">
        <v>465</v>
      </c>
    </row>
    <row r="323" spans="1:4">
      <c r="A323" s="11" t="s">
        <v>2169</v>
      </c>
      <c r="B323" s="12" t="s">
        <v>2170</v>
      </c>
      <c r="C323" s="11">
        <v>60</v>
      </c>
      <c r="D323" s="11">
        <v>58</v>
      </c>
    </row>
    <row r="324" spans="1:4">
      <c r="A324" s="11" t="s">
        <v>2179</v>
      </c>
      <c r="B324" s="12" t="s">
        <v>2180</v>
      </c>
      <c r="C324" s="11">
        <v>3000</v>
      </c>
      <c r="D324" s="11">
        <v>1829</v>
      </c>
    </row>
    <row r="325" spans="1:4">
      <c r="A325" s="11" t="s">
        <v>2211</v>
      </c>
      <c r="B325" s="12" t="s">
        <v>2212</v>
      </c>
      <c r="C325" s="11">
        <v>14</v>
      </c>
      <c r="D325" s="11">
        <v>24</v>
      </c>
    </row>
    <row r="326" spans="1:4">
      <c r="A326" s="11" t="s">
        <v>2227</v>
      </c>
      <c r="B326" s="12" t="s">
        <v>2228</v>
      </c>
      <c r="C326" s="11">
        <v>60</v>
      </c>
      <c r="D326" s="11">
        <v>42</v>
      </c>
    </row>
    <row r="327" spans="1:4">
      <c r="A327" s="11" t="s">
        <v>2241</v>
      </c>
      <c r="B327" s="12" t="s">
        <v>2242</v>
      </c>
      <c r="C327" s="11">
        <v>3360</v>
      </c>
      <c r="D327" s="11">
        <v>1309</v>
      </c>
    </row>
    <row r="328" spans="1:4">
      <c r="A328" s="11" t="s">
        <v>2255</v>
      </c>
      <c r="B328" s="12" t="s">
        <v>2256</v>
      </c>
      <c r="C328" s="11">
        <v>840</v>
      </c>
      <c r="D328" s="11">
        <v>1118</v>
      </c>
    </row>
    <row r="329" spans="1:4">
      <c r="A329" s="11" t="s">
        <v>2277</v>
      </c>
      <c r="B329" s="12" t="s">
        <v>2278</v>
      </c>
      <c r="C329" s="11">
        <v>20</v>
      </c>
      <c r="D329" s="11">
        <v>5</v>
      </c>
    </row>
    <row r="330" spans="1:4">
      <c r="A330" s="11" t="s">
        <v>2279</v>
      </c>
      <c r="B330" s="12" t="s">
        <v>2280</v>
      </c>
      <c r="C330" s="11">
        <v>10</v>
      </c>
      <c r="D330" s="11">
        <v>15</v>
      </c>
    </row>
    <row r="331" spans="1:4">
      <c r="A331" s="11" t="s">
        <v>2307</v>
      </c>
      <c r="B331" s="12" t="s">
        <v>2308</v>
      </c>
      <c r="C331" s="11">
        <v>15000</v>
      </c>
      <c r="D331" s="11">
        <v>5447</v>
      </c>
    </row>
    <row r="332" spans="1:4">
      <c r="A332" s="11" t="s">
        <v>2335</v>
      </c>
      <c r="B332" s="12" t="s">
        <v>2336</v>
      </c>
      <c r="C332" s="11">
        <v>810</v>
      </c>
      <c r="D332" s="11">
        <v>465</v>
      </c>
    </row>
    <row r="333" spans="1:4">
      <c r="A333" s="11" t="s">
        <v>2339</v>
      </c>
      <c r="B333" s="12" t="s">
        <v>2340</v>
      </c>
      <c r="C333" s="11">
        <v>3000</v>
      </c>
      <c r="D333" s="11">
        <v>1238</v>
      </c>
    </row>
    <row r="334" spans="1:4">
      <c r="A334" s="11" t="s">
        <v>2347</v>
      </c>
      <c r="B334" s="12" t="s">
        <v>2348</v>
      </c>
      <c r="C334" s="11">
        <v>360</v>
      </c>
      <c r="D334" s="11">
        <v>156</v>
      </c>
    </row>
    <row r="335" spans="1:4">
      <c r="A335" s="11" t="s">
        <v>2359</v>
      </c>
      <c r="B335" s="12" t="s">
        <v>2360</v>
      </c>
      <c r="C335" s="11">
        <v>100</v>
      </c>
      <c r="D335" s="11">
        <v>194</v>
      </c>
    </row>
    <row r="336" spans="1:4">
      <c r="A336" s="11" t="s">
        <v>2361</v>
      </c>
      <c r="B336" s="12" t="s">
        <v>2362</v>
      </c>
      <c r="C336" s="11">
        <v>56</v>
      </c>
      <c r="D336" s="11">
        <v>13</v>
      </c>
    </row>
    <row r="337" spans="1:4">
      <c r="A337" s="11" t="s">
        <v>2371</v>
      </c>
      <c r="B337" s="12" t="s">
        <v>2372</v>
      </c>
      <c r="C337" s="11">
        <v>168</v>
      </c>
      <c r="D337" s="11">
        <v>70</v>
      </c>
    </row>
    <row r="338" spans="1:4">
      <c r="A338" s="11" t="s">
        <v>2375</v>
      </c>
      <c r="B338" s="12" t="s">
        <v>2376</v>
      </c>
      <c r="C338" s="11">
        <v>210</v>
      </c>
      <c r="D338" s="11">
        <v>175</v>
      </c>
    </row>
    <row r="339" spans="1:4">
      <c r="A339" s="11" t="s">
        <v>2383</v>
      </c>
      <c r="B339" s="12" t="s">
        <v>2384</v>
      </c>
      <c r="C339" s="11">
        <v>140</v>
      </c>
      <c r="D339" s="11">
        <v>26</v>
      </c>
    </row>
    <row r="340" spans="1:4">
      <c r="A340" s="11" t="s">
        <v>2405</v>
      </c>
      <c r="B340" s="12" t="s">
        <v>2406</v>
      </c>
      <c r="C340" s="11">
        <v>840</v>
      </c>
      <c r="D340" s="11">
        <v>203</v>
      </c>
    </row>
    <row r="341" spans="1:4">
      <c r="A341" s="11" t="s">
        <v>2417</v>
      </c>
      <c r="B341" s="12" t="s">
        <v>2418</v>
      </c>
      <c r="C341" s="11">
        <v>140</v>
      </c>
      <c r="D341" s="11">
        <v>18</v>
      </c>
    </row>
    <row r="342" spans="1:4">
      <c r="A342" s="11" t="s">
        <v>2429</v>
      </c>
      <c r="B342" s="12" t="s">
        <v>2430</v>
      </c>
      <c r="C342" s="11">
        <v>500</v>
      </c>
      <c r="D342" s="11">
        <v>338</v>
      </c>
    </row>
    <row r="343" spans="1:4">
      <c r="A343" s="11" t="s">
        <v>2431</v>
      </c>
      <c r="B343" s="12" t="s">
        <v>2432</v>
      </c>
      <c r="C343" s="11">
        <v>300</v>
      </c>
      <c r="D343" s="11">
        <v>74</v>
      </c>
    </row>
    <row r="344" spans="1:4">
      <c r="A344" s="11" t="s">
        <v>2439</v>
      </c>
      <c r="B344" s="12" t="s">
        <v>2440</v>
      </c>
      <c r="C344" s="11">
        <v>560</v>
      </c>
      <c r="D344" s="11">
        <v>279</v>
      </c>
    </row>
    <row r="345" spans="1:4">
      <c r="A345" s="11" t="s">
        <v>2447</v>
      </c>
      <c r="B345" s="12" t="s">
        <v>2448</v>
      </c>
      <c r="C345" s="11">
        <v>160</v>
      </c>
      <c r="D345" s="11">
        <v>106</v>
      </c>
    </row>
    <row r="346" spans="1:4">
      <c r="A346" s="11" t="s">
        <v>2467</v>
      </c>
      <c r="B346" s="12" t="s">
        <v>2468</v>
      </c>
      <c r="C346" s="11">
        <v>360</v>
      </c>
      <c r="D346" s="11">
        <v>150</v>
      </c>
    </row>
    <row r="347" spans="1:4">
      <c r="A347" s="11" t="s">
        <v>2477</v>
      </c>
      <c r="B347" s="12" t="s">
        <v>2478</v>
      </c>
      <c r="C347" s="11">
        <v>56</v>
      </c>
      <c r="D347" s="11">
        <v>0</v>
      </c>
    </row>
    <row r="348" spans="1:4">
      <c r="A348" s="11" t="s">
        <v>2493</v>
      </c>
      <c r="B348" s="12" t="s">
        <v>2494</v>
      </c>
      <c r="C348" s="11">
        <v>8</v>
      </c>
      <c r="D348" s="11">
        <v>0</v>
      </c>
    </row>
    <row r="349" spans="1:4">
      <c r="A349" s="11" t="s">
        <v>2511</v>
      </c>
      <c r="B349" s="12" t="s">
        <v>2512</v>
      </c>
      <c r="C349" s="11">
        <v>672</v>
      </c>
      <c r="D349" s="11">
        <v>199</v>
      </c>
    </row>
    <row r="350" spans="1:4">
      <c r="A350" s="11" t="s">
        <v>2529</v>
      </c>
      <c r="B350" s="12" t="s">
        <v>2530</v>
      </c>
      <c r="C350" s="11">
        <v>3000</v>
      </c>
      <c r="D350" s="11">
        <v>1985</v>
      </c>
    </row>
    <row r="351" spans="1:4">
      <c r="A351" s="11" t="s">
        <v>2531</v>
      </c>
      <c r="B351" s="12" t="s">
        <v>2532</v>
      </c>
      <c r="C351" s="11">
        <v>200</v>
      </c>
      <c r="D351" s="11">
        <v>146</v>
      </c>
    </row>
    <row r="352" spans="1:4">
      <c r="A352" s="11" t="s">
        <v>2553</v>
      </c>
      <c r="B352" s="12" t="s">
        <v>2554</v>
      </c>
      <c r="C352" s="11">
        <v>300</v>
      </c>
      <c r="D352" s="11">
        <v>357</v>
      </c>
    </row>
    <row r="353" spans="1:4">
      <c r="A353" s="11" t="s">
        <v>2557</v>
      </c>
      <c r="B353" s="12" t="s">
        <v>2558</v>
      </c>
      <c r="C353" s="11">
        <v>168</v>
      </c>
      <c r="D353" s="11">
        <v>45</v>
      </c>
    </row>
    <row r="354" spans="1:4">
      <c r="A354" s="11" t="s">
        <v>2569</v>
      </c>
      <c r="B354" s="12" t="s">
        <v>2570</v>
      </c>
      <c r="C354" s="11">
        <v>600</v>
      </c>
      <c r="D354" s="11">
        <v>524</v>
      </c>
    </row>
    <row r="355" spans="1:4">
      <c r="A355" s="11" t="s">
        <v>2573</v>
      </c>
      <c r="B355" s="12" t="s">
        <v>2574</v>
      </c>
      <c r="C355" s="11">
        <v>300</v>
      </c>
      <c r="D355" s="11">
        <v>177</v>
      </c>
    </row>
    <row r="356" spans="1:4">
      <c r="A356" s="11" t="s">
        <v>2575</v>
      </c>
      <c r="B356" s="12" t="s">
        <v>2576</v>
      </c>
      <c r="C356" s="11">
        <v>100</v>
      </c>
      <c r="D356" s="11">
        <v>9</v>
      </c>
    </row>
    <row r="357" spans="1:4">
      <c r="A357" s="11" t="s">
        <v>2577</v>
      </c>
      <c r="B357" s="12" t="s">
        <v>2578</v>
      </c>
      <c r="C357" s="11">
        <v>400</v>
      </c>
      <c r="D357" s="11">
        <v>111</v>
      </c>
    </row>
    <row r="358" spans="1:4">
      <c r="A358" s="11" t="s">
        <v>2581</v>
      </c>
      <c r="B358" s="12" t="s">
        <v>2582</v>
      </c>
      <c r="C358" s="11">
        <v>240</v>
      </c>
      <c r="D358" s="11">
        <v>-30</v>
      </c>
    </row>
    <row r="359" spans="1:4">
      <c r="A359" s="11" t="s">
        <v>2591</v>
      </c>
      <c r="B359" s="12" t="s">
        <v>2592</v>
      </c>
      <c r="C359" s="11">
        <v>112</v>
      </c>
      <c r="D359" s="11">
        <v>39</v>
      </c>
    </row>
    <row r="360" spans="1:4">
      <c r="A360" s="11" t="s">
        <v>2605</v>
      </c>
      <c r="B360" s="12" t="s">
        <v>2606</v>
      </c>
      <c r="C360" s="11">
        <v>1000</v>
      </c>
      <c r="D360" s="11">
        <v>374</v>
      </c>
    </row>
    <row r="361" spans="1:4">
      <c r="A361" s="11" t="s">
        <v>2609</v>
      </c>
      <c r="B361" s="12" t="s">
        <v>2610</v>
      </c>
      <c r="C361" s="11">
        <v>280</v>
      </c>
      <c r="D361" s="11">
        <v>168</v>
      </c>
    </row>
    <row r="362" spans="1:4">
      <c r="A362" s="11" t="s">
        <v>2625</v>
      </c>
      <c r="B362" s="12" t="s">
        <v>2626</v>
      </c>
      <c r="C362" s="11">
        <v>1500</v>
      </c>
      <c r="D362" s="11">
        <v>867</v>
      </c>
    </row>
    <row r="363" spans="1:4">
      <c r="A363" s="11" t="s">
        <v>2663</v>
      </c>
      <c r="B363" s="12" t="s">
        <v>2664</v>
      </c>
      <c r="C363" s="11">
        <v>280</v>
      </c>
      <c r="D363" s="11">
        <v>119</v>
      </c>
    </row>
    <row r="364" spans="1:4">
      <c r="A364" s="11" t="s">
        <v>2667</v>
      </c>
      <c r="B364" s="12" t="s">
        <v>2668</v>
      </c>
      <c r="C364" s="11">
        <v>30</v>
      </c>
      <c r="D364" s="11">
        <v>9</v>
      </c>
    </row>
    <row r="365" spans="1:4">
      <c r="A365" s="11" t="s">
        <v>89</v>
      </c>
      <c r="B365" s="12" t="s">
        <v>90</v>
      </c>
      <c r="C365" s="11">
        <v>200</v>
      </c>
      <c r="D365" s="11">
        <v>149</v>
      </c>
    </row>
    <row r="366" spans="1:4">
      <c r="A366" s="11" t="s">
        <v>213</v>
      </c>
      <c r="B366" s="12" t="s">
        <v>214</v>
      </c>
      <c r="C366" s="11">
        <v>20</v>
      </c>
      <c r="D366" s="11">
        <v>6</v>
      </c>
    </row>
    <row r="367" spans="1:4">
      <c r="A367" s="11" t="s">
        <v>279</v>
      </c>
      <c r="B367" s="12" t="s">
        <v>280</v>
      </c>
      <c r="C367" s="11">
        <v>12</v>
      </c>
      <c r="D367" s="11">
        <v>8</v>
      </c>
    </row>
    <row r="368" spans="1:4">
      <c r="A368" s="11" t="s">
        <v>289</v>
      </c>
      <c r="B368" s="12" t="s">
        <v>290</v>
      </c>
      <c r="C368" s="11">
        <v>2</v>
      </c>
      <c r="D368" s="11">
        <v>-1</v>
      </c>
    </row>
    <row r="369" spans="1:4">
      <c r="A369" s="11" t="s">
        <v>319</v>
      </c>
      <c r="B369" s="12" t="s">
        <v>320</v>
      </c>
      <c r="C369" s="11">
        <v>404</v>
      </c>
      <c r="D369" s="11">
        <v>307</v>
      </c>
    </row>
    <row r="370" spans="1:4">
      <c r="A370" s="11" t="s">
        <v>345</v>
      </c>
      <c r="B370" s="12" t="s">
        <v>346</v>
      </c>
      <c r="C370" s="11">
        <v>15</v>
      </c>
      <c r="D370" s="11">
        <v>0</v>
      </c>
    </row>
    <row r="371" spans="1:4">
      <c r="A371" s="11" t="s">
        <v>373</v>
      </c>
      <c r="B371" s="12" t="s">
        <v>374</v>
      </c>
      <c r="C371" s="11">
        <v>20</v>
      </c>
      <c r="D371" s="11">
        <v>3</v>
      </c>
    </row>
    <row r="372" spans="1:4">
      <c r="A372" s="11" t="s">
        <v>411</v>
      </c>
      <c r="B372" s="12" t="s">
        <v>412</v>
      </c>
      <c r="C372" s="11">
        <v>0</v>
      </c>
      <c r="D372" s="11">
        <v>-7</v>
      </c>
    </row>
    <row r="373" spans="1:4">
      <c r="A373" s="11" t="s">
        <v>439</v>
      </c>
      <c r="B373" s="12" t="s">
        <v>440</v>
      </c>
      <c r="C373" s="11">
        <v>350</v>
      </c>
      <c r="D373" s="11">
        <v>111</v>
      </c>
    </row>
    <row r="374" spans="1:4">
      <c r="A374" s="11" t="s">
        <v>455</v>
      </c>
      <c r="B374" s="12" t="s">
        <v>456</v>
      </c>
      <c r="C374" s="11">
        <v>12</v>
      </c>
      <c r="D374" s="11">
        <v>1</v>
      </c>
    </row>
    <row r="375" spans="1:4">
      <c r="A375" s="11" t="s">
        <v>473</v>
      </c>
      <c r="B375" s="12" t="s">
        <v>474</v>
      </c>
      <c r="C375" s="11">
        <v>144</v>
      </c>
      <c r="D375" s="11">
        <v>33</v>
      </c>
    </row>
    <row r="376" spans="1:4">
      <c r="A376" s="11" t="s">
        <v>483</v>
      </c>
      <c r="B376" s="12" t="s">
        <v>484</v>
      </c>
      <c r="C376" s="11">
        <v>12</v>
      </c>
      <c r="D376" s="11">
        <v>1</v>
      </c>
    </row>
    <row r="377" spans="1:4">
      <c r="A377" s="11" t="s">
        <v>507</v>
      </c>
      <c r="B377" s="12" t="s">
        <v>508</v>
      </c>
      <c r="C377" s="11">
        <v>8640</v>
      </c>
      <c r="D377" s="11">
        <v>1819</v>
      </c>
    </row>
    <row r="378" spans="1:4">
      <c r="A378" s="11" t="s">
        <v>563</v>
      </c>
      <c r="B378" s="12" t="s">
        <v>564</v>
      </c>
      <c r="C378" s="11">
        <v>10</v>
      </c>
      <c r="D378" s="11">
        <v>0</v>
      </c>
    </row>
    <row r="379" spans="1:4">
      <c r="A379" s="11" t="s">
        <v>645</v>
      </c>
      <c r="B379" s="12" t="s">
        <v>646</v>
      </c>
      <c r="C379" s="11">
        <v>14</v>
      </c>
      <c r="D379" s="11">
        <v>9</v>
      </c>
    </row>
    <row r="380" spans="1:4">
      <c r="A380" s="11" t="s">
        <v>723</v>
      </c>
      <c r="B380" s="12" t="s">
        <v>724</v>
      </c>
      <c r="C380" s="11">
        <v>10</v>
      </c>
      <c r="D380" s="11">
        <v>12</v>
      </c>
    </row>
    <row r="381" spans="1:4">
      <c r="A381" s="11" t="s">
        <v>727</v>
      </c>
      <c r="B381" s="12" t="s">
        <v>728</v>
      </c>
      <c r="C381" s="11">
        <v>40</v>
      </c>
      <c r="D381" s="11">
        <v>24</v>
      </c>
    </row>
    <row r="382" spans="1:4">
      <c r="A382" s="11" t="s">
        <v>757</v>
      </c>
      <c r="B382" s="12" t="s">
        <v>758</v>
      </c>
      <c r="C382" s="11">
        <v>12</v>
      </c>
      <c r="D382" s="11">
        <v>5</v>
      </c>
    </row>
    <row r="383" spans="1:4">
      <c r="A383" s="11" t="s">
        <v>781</v>
      </c>
      <c r="B383" s="12" t="s">
        <v>782</v>
      </c>
      <c r="C383" s="11">
        <v>20</v>
      </c>
      <c r="D383" s="11">
        <v>8</v>
      </c>
    </row>
    <row r="384" spans="1:4">
      <c r="A384" s="11" t="s">
        <v>839</v>
      </c>
      <c r="B384" s="12" t="s">
        <v>840</v>
      </c>
      <c r="C384" s="11">
        <v>288</v>
      </c>
      <c r="D384" s="11">
        <v>113</v>
      </c>
    </row>
    <row r="385" spans="1:4">
      <c r="A385" s="11" t="s">
        <v>993</v>
      </c>
      <c r="B385" s="12" t="s">
        <v>994</v>
      </c>
      <c r="C385" s="11">
        <v>30</v>
      </c>
      <c r="D385" s="11">
        <v>7</v>
      </c>
    </row>
    <row r="386" spans="1:4">
      <c r="A386" s="11" t="s">
        <v>1005</v>
      </c>
      <c r="B386" s="12" t="s">
        <v>1006</v>
      </c>
      <c r="C386" s="11">
        <v>72</v>
      </c>
      <c r="D386" s="11">
        <v>18</v>
      </c>
    </row>
    <row r="387" spans="1:4">
      <c r="A387" s="11" t="s">
        <v>1163</v>
      </c>
      <c r="B387" s="12" t="s">
        <v>1164</v>
      </c>
      <c r="C387" s="11">
        <v>600</v>
      </c>
      <c r="D387" s="11">
        <v>263</v>
      </c>
    </row>
    <row r="388" spans="1:4">
      <c r="A388" s="11" t="s">
        <v>1229</v>
      </c>
      <c r="B388" s="12" t="s">
        <v>1230</v>
      </c>
      <c r="C388" s="11">
        <v>80</v>
      </c>
      <c r="D388" s="11">
        <v>21</v>
      </c>
    </row>
    <row r="389" spans="1:4">
      <c r="A389" s="11" t="s">
        <v>1297</v>
      </c>
      <c r="B389" s="12" t="s">
        <v>1298</v>
      </c>
      <c r="C389" s="11">
        <v>30</v>
      </c>
      <c r="D389" s="11">
        <v>28</v>
      </c>
    </row>
    <row r="390" spans="1:4">
      <c r="A390" s="11" t="s">
        <v>1411</v>
      </c>
      <c r="B390" s="12" t="s">
        <v>1412</v>
      </c>
      <c r="C390" s="11">
        <v>1800</v>
      </c>
      <c r="D390" s="11">
        <v>103</v>
      </c>
    </row>
    <row r="391" spans="1:4">
      <c r="A391" s="11" t="s">
        <v>1531</v>
      </c>
      <c r="B391" s="12" t="s">
        <v>1532</v>
      </c>
      <c r="C391" s="11">
        <v>100</v>
      </c>
      <c r="D391" s="11">
        <v>-59</v>
      </c>
    </row>
    <row r="392" spans="1:4">
      <c r="A392" s="11" t="s">
        <v>1585</v>
      </c>
      <c r="B392" s="12" t="s">
        <v>1586</v>
      </c>
      <c r="C392" s="11">
        <v>48</v>
      </c>
      <c r="D392" s="11">
        <v>32</v>
      </c>
    </row>
    <row r="393" spans="1:4">
      <c r="A393" s="11" t="s">
        <v>1651</v>
      </c>
      <c r="B393" s="12" t="s">
        <v>1652</v>
      </c>
      <c r="C393" s="11">
        <v>2</v>
      </c>
      <c r="D393" s="11">
        <v>1</v>
      </c>
    </row>
    <row r="394" spans="1:4">
      <c r="A394" s="11" t="s">
        <v>1689</v>
      </c>
      <c r="B394" s="12" t="s">
        <v>1690</v>
      </c>
      <c r="C394" s="11">
        <v>24</v>
      </c>
      <c r="D394" s="11">
        <v>14</v>
      </c>
    </row>
    <row r="395" spans="1:4">
      <c r="A395" s="11" t="s">
        <v>1787</v>
      </c>
      <c r="B395" s="12" t="s">
        <v>1788</v>
      </c>
      <c r="C395" s="11">
        <v>12</v>
      </c>
      <c r="D395" s="11">
        <v>4</v>
      </c>
    </row>
    <row r="396" spans="1:4">
      <c r="A396" s="11" t="s">
        <v>1829</v>
      </c>
      <c r="B396" s="12" t="s">
        <v>1830</v>
      </c>
      <c r="C396" s="11">
        <v>8</v>
      </c>
      <c r="D396" s="11">
        <v>14</v>
      </c>
    </row>
    <row r="397" spans="1:4">
      <c r="A397" s="11" t="s">
        <v>2003</v>
      </c>
      <c r="B397" s="12" t="s">
        <v>2004</v>
      </c>
      <c r="C397" s="11">
        <v>2000</v>
      </c>
      <c r="D397" s="11">
        <v>1272</v>
      </c>
    </row>
    <row r="398" spans="1:4">
      <c r="A398" s="11" t="s">
        <v>2033</v>
      </c>
      <c r="B398" s="12" t="s">
        <v>2034</v>
      </c>
      <c r="C398" s="11">
        <v>4</v>
      </c>
      <c r="D398" s="11">
        <v>2</v>
      </c>
    </row>
    <row r="399" spans="1:4">
      <c r="A399" s="11" t="s">
        <v>2057</v>
      </c>
      <c r="B399" s="12" t="s">
        <v>2058</v>
      </c>
      <c r="C399" s="11">
        <v>36</v>
      </c>
      <c r="D399" s="11">
        <v>15</v>
      </c>
    </row>
    <row r="400" spans="1:4">
      <c r="A400" s="11" t="s">
        <v>2061</v>
      </c>
      <c r="B400" s="12" t="s">
        <v>2062</v>
      </c>
      <c r="C400" s="11">
        <v>5</v>
      </c>
      <c r="D400" s="11">
        <v>7</v>
      </c>
    </row>
    <row r="401" spans="1:4">
      <c r="A401" s="11" t="s">
        <v>2077</v>
      </c>
      <c r="B401" s="12" t="s">
        <v>2078</v>
      </c>
      <c r="C401" s="11">
        <v>50</v>
      </c>
      <c r="D401" s="11">
        <v>18</v>
      </c>
    </row>
    <row r="402" spans="1:4">
      <c r="A402" s="11" t="s">
        <v>2081</v>
      </c>
      <c r="B402" s="12" t="s">
        <v>2082</v>
      </c>
      <c r="C402" s="11">
        <v>44</v>
      </c>
      <c r="D402" s="11">
        <v>22</v>
      </c>
    </row>
    <row r="403" spans="1:4">
      <c r="A403" s="11" t="s">
        <v>2153</v>
      </c>
      <c r="B403" s="12" t="s">
        <v>2154</v>
      </c>
      <c r="C403" s="11">
        <v>20</v>
      </c>
      <c r="D403" s="11">
        <v>2</v>
      </c>
    </row>
    <row r="404" spans="1:4">
      <c r="A404" s="11" t="s">
        <v>2157</v>
      </c>
      <c r="B404" s="12" t="s">
        <v>2158</v>
      </c>
      <c r="C404" s="11">
        <v>10</v>
      </c>
      <c r="D404" s="11">
        <v>5</v>
      </c>
    </row>
    <row r="405" spans="1:4">
      <c r="A405" s="11" t="s">
        <v>2676</v>
      </c>
      <c r="B405" s="12" t="s">
        <v>2677</v>
      </c>
      <c r="C405" s="11">
        <v>0</v>
      </c>
      <c r="D405" s="11">
        <v>0</v>
      </c>
    </row>
    <row r="406" spans="1:4">
      <c r="A406" s="11" t="s">
        <v>2323</v>
      </c>
      <c r="B406" s="12" t="s">
        <v>2324</v>
      </c>
      <c r="C406" s="11">
        <v>50</v>
      </c>
      <c r="D406" s="11">
        <v>10</v>
      </c>
    </row>
    <row r="407" spans="1:4">
      <c r="A407" s="11" t="s">
        <v>2329</v>
      </c>
      <c r="B407" s="12" t="s">
        <v>2330</v>
      </c>
      <c r="C407" s="11">
        <v>10</v>
      </c>
      <c r="D407" s="11">
        <v>17</v>
      </c>
    </row>
    <row r="408" spans="1:4">
      <c r="A408" s="11" t="s">
        <v>2503</v>
      </c>
      <c r="B408" s="12" t="s">
        <v>2504</v>
      </c>
      <c r="C408" s="11">
        <v>10</v>
      </c>
      <c r="D408" s="11">
        <v>5</v>
      </c>
    </row>
    <row r="409" spans="1:4">
      <c r="A409" s="11" t="s">
        <v>2533</v>
      </c>
      <c r="B409" s="12" t="s">
        <v>2534</v>
      </c>
      <c r="C409" s="11">
        <v>50</v>
      </c>
      <c r="D409" s="11">
        <v>38</v>
      </c>
    </row>
    <row r="410" spans="1:4">
      <c r="A410" s="11" t="s">
        <v>2535</v>
      </c>
      <c r="B410" s="12" t="s">
        <v>2536</v>
      </c>
      <c r="C410" s="11">
        <v>100</v>
      </c>
      <c r="D410" s="11">
        <v>27</v>
      </c>
    </row>
    <row r="411" spans="1:4">
      <c r="A411" s="11" t="s">
        <v>2601</v>
      </c>
      <c r="B411" s="12" t="s">
        <v>2602</v>
      </c>
      <c r="C411" s="11">
        <v>80</v>
      </c>
      <c r="D411" s="11">
        <v>94</v>
      </c>
    </row>
    <row r="412" spans="1:4">
      <c r="A412" s="11" t="s">
        <v>2615</v>
      </c>
      <c r="B412" s="12" t="s">
        <v>2616</v>
      </c>
      <c r="C412" s="11">
        <v>24</v>
      </c>
      <c r="D412" s="11">
        <v>24</v>
      </c>
    </row>
    <row r="413" spans="1:4">
      <c r="A413" s="11" t="s">
        <v>447</v>
      </c>
      <c r="B413" s="12" t="s">
        <v>448</v>
      </c>
      <c r="C413" s="11">
        <v>20</v>
      </c>
      <c r="D413" s="11">
        <v>19</v>
      </c>
    </row>
    <row r="414" spans="1:4">
      <c r="A414" s="11" t="s">
        <v>929</v>
      </c>
      <c r="B414" s="12" t="s">
        <v>930</v>
      </c>
      <c r="C414" s="11">
        <v>8</v>
      </c>
      <c r="D414" s="11">
        <v>1</v>
      </c>
    </row>
    <row r="415" spans="1:4">
      <c r="A415" s="11" t="s">
        <v>2023</v>
      </c>
      <c r="B415" s="12" t="s">
        <v>2024</v>
      </c>
      <c r="C415" s="11">
        <v>600</v>
      </c>
      <c r="D415" s="11">
        <v>188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2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7.875" defaultRowHeight="16.5" outlineLevelCol="2"/>
  <cols>
    <col min="1" max="1" width="12" style="1" customWidth="1"/>
    <col min="2" max="2" width="41" style="1" customWidth="1"/>
    <col min="3" max="3" width="9.125" style="1" customWidth="1"/>
    <col min="4" max="16384" width="7.875" style="2"/>
  </cols>
  <sheetData>
    <row r="1" ht="19.5" spans="1:3">
      <c r="A1" s="3" t="s">
        <v>0</v>
      </c>
      <c r="B1" s="3" t="s">
        <v>2678</v>
      </c>
      <c r="C1" s="3" t="s">
        <v>2679</v>
      </c>
    </row>
    <row r="2" spans="1:3">
      <c r="A2" s="4" t="s">
        <v>23</v>
      </c>
      <c r="B2" s="4" t="s">
        <v>24</v>
      </c>
      <c r="C2" s="4">
        <v>2</v>
      </c>
    </row>
    <row r="3" spans="1:3">
      <c r="A3" s="4" t="s">
        <v>25</v>
      </c>
      <c r="B3" s="4" t="s">
        <v>26</v>
      </c>
      <c r="C3" s="4">
        <v>9</v>
      </c>
    </row>
    <row r="4" spans="1:3">
      <c r="A4" s="6" t="s">
        <v>2680</v>
      </c>
      <c r="B4" s="6" t="s">
        <v>2681</v>
      </c>
      <c r="C4" s="6">
        <v>-1</v>
      </c>
    </row>
    <row r="5" spans="1:3">
      <c r="A5" s="4" t="s">
        <v>55</v>
      </c>
      <c r="B5" s="4" t="s">
        <v>56</v>
      </c>
      <c r="C5" s="4">
        <v>1</v>
      </c>
    </row>
    <row r="6" spans="1:3">
      <c r="A6" s="4" t="s">
        <v>63</v>
      </c>
      <c r="B6" s="4" t="s">
        <v>64</v>
      </c>
      <c r="C6" s="4">
        <v>24</v>
      </c>
    </row>
    <row r="7" spans="1:3">
      <c r="A7" s="4" t="s">
        <v>77</v>
      </c>
      <c r="B7" s="4" t="s">
        <v>78</v>
      </c>
      <c r="C7" s="4">
        <v>1</v>
      </c>
    </row>
    <row r="8" spans="1:3">
      <c r="A8" s="4" t="s">
        <v>125</v>
      </c>
      <c r="B8" s="4" t="s">
        <v>126</v>
      </c>
      <c r="C8" s="4">
        <v>5</v>
      </c>
    </row>
    <row r="9" spans="1:3">
      <c r="A9" s="4" t="s">
        <v>141</v>
      </c>
      <c r="B9" s="4" t="s">
        <v>142</v>
      </c>
      <c r="C9" s="4">
        <v>1</v>
      </c>
    </row>
    <row r="10" spans="1:3">
      <c r="A10" s="4" t="s">
        <v>145</v>
      </c>
      <c r="B10" s="4" t="s">
        <v>146</v>
      </c>
      <c r="C10" s="4">
        <v>3</v>
      </c>
    </row>
    <row r="11" spans="1:3">
      <c r="A11" s="4" t="s">
        <v>153</v>
      </c>
      <c r="B11" s="4" t="s">
        <v>154</v>
      </c>
      <c r="C11" s="4">
        <v>18</v>
      </c>
    </row>
    <row r="12" spans="1:3">
      <c r="A12" s="6" t="s">
        <v>155</v>
      </c>
      <c r="B12" s="6" t="s">
        <v>156</v>
      </c>
      <c r="C12" s="6">
        <v>0</v>
      </c>
    </row>
    <row r="13" spans="1:3">
      <c r="A13" s="4" t="s">
        <v>161</v>
      </c>
      <c r="B13" s="4" t="s">
        <v>162</v>
      </c>
      <c r="C13" s="4">
        <v>1</v>
      </c>
    </row>
    <row r="14" spans="1:3">
      <c r="A14" s="6" t="s">
        <v>163</v>
      </c>
      <c r="B14" s="6" t="s">
        <v>164</v>
      </c>
      <c r="C14" s="6">
        <v>-3</v>
      </c>
    </row>
    <row r="15" spans="1:3">
      <c r="A15" s="4" t="s">
        <v>171</v>
      </c>
      <c r="B15" s="4" t="s">
        <v>172</v>
      </c>
      <c r="C15" s="4">
        <v>66</v>
      </c>
    </row>
    <row r="16" spans="1:3">
      <c r="A16" s="4" t="s">
        <v>187</v>
      </c>
      <c r="B16" s="4" t="s">
        <v>188</v>
      </c>
      <c r="C16" s="4">
        <v>1</v>
      </c>
    </row>
    <row r="17" spans="1:3">
      <c r="A17" s="4" t="s">
        <v>221</v>
      </c>
      <c r="B17" s="4" t="s">
        <v>222</v>
      </c>
      <c r="C17" s="4">
        <v>5</v>
      </c>
    </row>
    <row r="18" spans="1:3">
      <c r="A18" s="6" t="s">
        <v>233</v>
      </c>
      <c r="B18" s="6" t="s">
        <v>234</v>
      </c>
      <c r="C18" s="6">
        <v>-2</v>
      </c>
    </row>
    <row r="19" spans="1:3">
      <c r="A19" s="4" t="s">
        <v>243</v>
      </c>
      <c r="B19" s="4" t="s">
        <v>244</v>
      </c>
      <c r="C19" s="4">
        <v>3</v>
      </c>
    </row>
    <row r="20" spans="1:3">
      <c r="A20" s="4" t="s">
        <v>299</v>
      </c>
      <c r="B20" s="4" t="s">
        <v>300</v>
      </c>
      <c r="C20" s="4">
        <v>10</v>
      </c>
    </row>
    <row r="21" spans="1:3">
      <c r="A21" s="4" t="s">
        <v>2682</v>
      </c>
      <c r="B21" s="5" t="s">
        <v>2683</v>
      </c>
      <c r="C21" s="4">
        <v>12</v>
      </c>
    </row>
    <row r="22" spans="1:3">
      <c r="A22" s="4" t="s">
        <v>331</v>
      </c>
      <c r="B22" s="4" t="s">
        <v>332</v>
      </c>
      <c r="C22" s="4">
        <v>2</v>
      </c>
    </row>
    <row r="23" spans="1:3">
      <c r="A23" s="4" t="s">
        <v>353</v>
      </c>
      <c r="B23" s="4" t="s">
        <v>354</v>
      </c>
      <c r="C23" s="4">
        <v>20</v>
      </c>
    </row>
    <row r="24" spans="1:3">
      <c r="A24" s="4" t="s">
        <v>363</v>
      </c>
      <c r="B24" s="4" t="s">
        <v>364</v>
      </c>
      <c r="C24" s="4">
        <v>14</v>
      </c>
    </row>
    <row r="25" spans="1:3">
      <c r="A25" s="4" t="s">
        <v>365</v>
      </c>
      <c r="B25" s="4" t="s">
        <v>366</v>
      </c>
      <c r="C25" s="4">
        <v>2</v>
      </c>
    </row>
    <row r="26" spans="1:3">
      <c r="A26" s="6" t="s">
        <v>2684</v>
      </c>
      <c r="B26" s="6" t="s">
        <v>2685</v>
      </c>
      <c r="C26" s="6">
        <v>0</v>
      </c>
    </row>
    <row r="27" spans="1:3">
      <c r="A27" s="4" t="s">
        <v>417</v>
      </c>
      <c r="B27" s="4" t="s">
        <v>418</v>
      </c>
      <c r="C27" s="4">
        <v>8</v>
      </c>
    </row>
    <row r="28" spans="1:3">
      <c r="A28" s="4" t="s">
        <v>413</v>
      </c>
      <c r="B28" s="4" t="s">
        <v>414</v>
      </c>
      <c r="C28" s="4">
        <v>4</v>
      </c>
    </row>
    <row r="29" spans="1:3">
      <c r="A29" s="4" t="s">
        <v>429</v>
      </c>
      <c r="B29" s="4" t="s">
        <v>430</v>
      </c>
      <c r="C29" s="4">
        <v>3</v>
      </c>
    </row>
    <row r="30" spans="1:3">
      <c r="A30" s="6" t="s">
        <v>445</v>
      </c>
      <c r="B30" s="6" t="s">
        <v>446</v>
      </c>
      <c r="C30" s="6">
        <v>0</v>
      </c>
    </row>
    <row r="31" spans="1:3">
      <c r="A31" s="4" t="s">
        <v>463</v>
      </c>
      <c r="B31" s="4" t="s">
        <v>464</v>
      </c>
      <c r="C31" s="4">
        <v>6</v>
      </c>
    </row>
    <row r="32" spans="1:3">
      <c r="A32" s="4" t="s">
        <v>475</v>
      </c>
      <c r="B32" s="4" t="s">
        <v>476</v>
      </c>
      <c r="C32" s="4">
        <v>1</v>
      </c>
    </row>
    <row r="33" spans="1:3">
      <c r="A33" s="4" t="s">
        <v>479</v>
      </c>
      <c r="B33" s="4" t="s">
        <v>480</v>
      </c>
      <c r="C33" s="4">
        <v>4</v>
      </c>
    </row>
    <row r="34" spans="1:3">
      <c r="A34" s="4" t="s">
        <v>503</v>
      </c>
      <c r="B34" s="4" t="s">
        <v>504</v>
      </c>
      <c r="C34" s="4">
        <v>9</v>
      </c>
    </row>
    <row r="35" spans="1:3">
      <c r="A35" s="4" t="s">
        <v>539</v>
      </c>
      <c r="B35" s="4" t="s">
        <v>540</v>
      </c>
      <c r="C35" s="4">
        <v>15</v>
      </c>
    </row>
    <row r="36" spans="1:3">
      <c r="A36" s="4" t="s">
        <v>549</v>
      </c>
      <c r="B36" s="4" t="s">
        <v>550</v>
      </c>
      <c r="C36" s="4">
        <v>38</v>
      </c>
    </row>
    <row r="37" spans="1:3">
      <c r="A37" s="4" t="s">
        <v>567</v>
      </c>
      <c r="B37" s="4" t="s">
        <v>568</v>
      </c>
      <c r="C37" s="4">
        <v>5</v>
      </c>
    </row>
    <row r="38" spans="1:3">
      <c r="A38" s="4" t="s">
        <v>577</v>
      </c>
      <c r="B38" s="4" t="s">
        <v>578</v>
      </c>
      <c r="C38" s="4">
        <v>7</v>
      </c>
    </row>
    <row r="39" spans="1:3">
      <c r="A39" s="6" t="s">
        <v>611</v>
      </c>
      <c r="B39" s="6" t="s">
        <v>612</v>
      </c>
      <c r="C39" s="6">
        <v>-1</v>
      </c>
    </row>
    <row r="40" spans="1:3">
      <c r="A40" s="4" t="s">
        <v>631</v>
      </c>
      <c r="B40" s="4" t="s">
        <v>632</v>
      </c>
      <c r="C40" s="4">
        <v>39</v>
      </c>
    </row>
    <row r="41" spans="1:3">
      <c r="A41" s="4" t="s">
        <v>633</v>
      </c>
      <c r="B41" s="4" t="s">
        <v>634</v>
      </c>
      <c r="C41" s="4">
        <v>6</v>
      </c>
    </row>
    <row r="42" spans="1:3">
      <c r="A42" s="6" t="s">
        <v>1055</v>
      </c>
      <c r="B42" s="6" t="s">
        <v>1056</v>
      </c>
      <c r="C42" s="6">
        <v>-1</v>
      </c>
    </row>
    <row r="43" spans="1:3">
      <c r="A43" s="4" t="s">
        <v>667</v>
      </c>
      <c r="B43" s="4" t="s">
        <v>668</v>
      </c>
      <c r="C43" s="4">
        <v>41</v>
      </c>
    </row>
    <row r="44" spans="1:3">
      <c r="A44" s="4" t="s">
        <v>679</v>
      </c>
      <c r="B44" s="4" t="s">
        <v>680</v>
      </c>
      <c r="C44" s="4">
        <v>33</v>
      </c>
    </row>
    <row r="45" spans="1:3">
      <c r="A45" s="4" t="s">
        <v>681</v>
      </c>
      <c r="B45" s="4" t="s">
        <v>682</v>
      </c>
      <c r="C45" s="4">
        <v>2</v>
      </c>
    </row>
    <row r="46" spans="1:3">
      <c r="A46" s="4" t="s">
        <v>685</v>
      </c>
      <c r="B46" s="4" t="s">
        <v>686</v>
      </c>
      <c r="C46" s="4">
        <v>3</v>
      </c>
    </row>
    <row r="47" spans="1:3">
      <c r="A47" s="4" t="s">
        <v>709</v>
      </c>
      <c r="B47" s="4" t="s">
        <v>710</v>
      </c>
      <c r="C47" s="4">
        <v>6</v>
      </c>
    </row>
    <row r="48" spans="1:3">
      <c r="A48" s="4" t="s">
        <v>719</v>
      </c>
      <c r="B48" s="4" t="s">
        <v>720</v>
      </c>
      <c r="C48" s="4">
        <v>8</v>
      </c>
    </row>
    <row r="49" spans="1:3">
      <c r="A49" s="4" t="s">
        <v>771</v>
      </c>
      <c r="B49" s="4" t="s">
        <v>772</v>
      </c>
      <c r="C49" s="4">
        <v>1</v>
      </c>
    </row>
    <row r="50" spans="1:3">
      <c r="A50" s="4" t="s">
        <v>807</v>
      </c>
      <c r="B50" s="4" t="s">
        <v>808</v>
      </c>
      <c r="C50" s="4">
        <v>1</v>
      </c>
    </row>
    <row r="51" spans="1:3">
      <c r="A51" s="4" t="s">
        <v>811</v>
      </c>
      <c r="B51" s="4" t="s">
        <v>812</v>
      </c>
      <c r="C51" s="4">
        <v>8</v>
      </c>
    </row>
    <row r="52" spans="1:3">
      <c r="A52" s="4" t="s">
        <v>917</v>
      </c>
      <c r="B52" s="4" t="s">
        <v>918</v>
      </c>
      <c r="C52" s="4">
        <v>6</v>
      </c>
    </row>
    <row r="53" spans="1:3">
      <c r="A53" s="4" t="s">
        <v>985</v>
      </c>
      <c r="B53" s="4" t="s">
        <v>986</v>
      </c>
      <c r="C53" s="4">
        <v>12</v>
      </c>
    </row>
    <row r="54" spans="1:3">
      <c r="A54" s="6" t="s">
        <v>891</v>
      </c>
      <c r="B54" s="6" t="s">
        <v>892</v>
      </c>
      <c r="C54" s="6">
        <v>-5</v>
      </c>
    </row>
    <row r="55" spans="1:3">
      <c r="A55" s="4" t="s">
        <v>913</v>
      </c>
      <c r="B55" s="4" t="s">
        <v>914</v>
      </c>
      <c r="C55" s="4">
        <v>2</v>
      </c>
    </row>
    <row r="56" spans="1:3">
      <c r="A56" s="4" t="s">
        <v>921</v>
      </c>
      <c r="B56" s="4" t="s">
        <v>922</v>
      </c>
      <c r="C56" s="4">
        <v>87</v>
      </c>
    </row>
    <row r="57" spans="1:3">
      <c r="A57" s="4" t="s">
        <v>951</v>
      </c>
      <c r="B57" s="4" t="s">
        <v>952</v>
      </c>
      <c r="C57" s="4">
        <v>67</v>
      </c>
    </row>
    <row r="58" spans="1:3">
      <c r="A58" s="4" t="s">
        <v>965</v>
      </c>
      <c r="B58" s="4" t="s">
        <v>966</v>
      </c>
      <c r="C58" s="4">
        <v>1</v>
      </c>
    </row>
    <row r="59" spans="1:3">
      <c r="A59" s="4" t="s">
        <v>979</v>
      </c>
      <c r="B59" s="4" t="s">
        <v>980</v>
      </c>
      <c r="C59" s="4">
        <v>5</v>
      </c>
    </row>
    <row r="60" spans="1:3">
      <c r="A60" s="4" t="s">
        <v>981</v>
      </c>
      <c r="B60" s="4" t="s">
        <v>982</v>
      </c>
      <c r="C60" s="4">
        <v>24</v>
      </c>
    </row>
    <row r="61" spans="1:3">
      <c r="A61" s="4" t="s">
        <v>995</v>
      </c>
      <c r="B61" s="4" t="s">
        <v>996</v>
      </c>
      <c r="C61" s="4">
        <v>2</v>
      </c>
    </row>
    <row r="62" spans="1:3">
      <c r="A62" s="4" t="s">
        <v>1001</v>
      </c>
      <c r="B62" s="4" t="s">
        <v>1002</v>
      </c>
      <c r="C62" s="4">
        <v>45</v>
      </c>
    </row>
    <row r="63" spans="1:3">
      <c r="A63" s="4" t="s">
        <v>1023</v>
      </c>
      <c r="B63" s="4" t="s">
        <v>1024</v>
      </c>
      <c r="C63" s="4">
        <v>9</v>
      </c>
    </row>
    <row r="64" spans="1:3">
      <c r="A64" s="6" t="s">
        <v>1045</v>
      </c>
      <c r="B64" s="6" t="s">
        <v>1046</v>
      </c>
      <c r="C64" s="6">
        <v>0</v>
      </c>
    </row>
    <row r="65" spans="1:3">
      <c r="A65" s="4" t="s">
        <v>1041</v>
      </c>
      <c r="B65" s="4" t="s">
        <v>1042</v>
      </c>
      <c r="C65" s="4">
        <v>1</v>
      </c>
    </row>
    <row r="66" spans="1:3">
      <c r="A66" s="4" t="s">
        <v>1063</v>
      </c>
      <c r="B66" s="4" t="s">
        <v>1064</v>
      </c>
      <c r="C66" s="4">
        <v>3</v>
      </c>
    </row>
    <row r="67" spans="1:3">
      <c r="A67" s="6" t="s">
        <v>1073</v>
      </c>
      <c r="B67" s="6" t="s">
        <v>1074</v>
      </c>
      <c r="C67" s="6">
        <v>0</v>
      </c>
    </row>
    <row r="68" spans="1:3">
      <c r="A68" s="4" t="s">
        <v>1101</v>
      </c>
      <c r="B68" s="4" t="s">
        <v>1102</v>
      </c>
      <c r="C68" s="4">
        <v>2</v>
      </c>
    </row>
    <row r="69" spans="1:3">
      <c r="A69" s="6" t="s">
        <v>1075</v>
      </c>
      <c r="B69" s="6" t="s">
        <v>1076</v>
      </c>
      <c r="C69" s="6">
        <v>0</v>
      </c>
    </row>
    <row r="70" spans="1:3">
      <c r="A70" s="4" t="s">
        <v>1083</v>
      </c>
      <c r="B70" s="4" t="s">
        <v>2672</v>
      </c>
      <c r="C70" s="4">
        <v>68</v>
      </c>
    </row>
    <row r="71" spans="1:3">
      <c r="A71" s="4" t="s">
        <v>1085</v>
      </c>
      <c r="B71" s="4" t="s">
        <v>1086</v>
      </c>
      <c r="C71" s="4">
        <v>2</v>
      </c>
    </row>
    <row r="72" spans="1:3">
      <c r="A72" s="4" t="s">
        <v>1153</v>
      </c>
      <c r="B72" s="4" t="s">
        <v>1154</v>
      </c>
      <c r="C72" s="4">
        <v>1</v>
      </c>
    </row>
    <row r="73" spans="1:3">
      <c r="A73" s="4" t="s">
        <v>1145</v>
      </c>
      <c r="B73" s="4" t="s">
        <v>1146</v>
      </c>
      <c r="C73" s="4">
        <v>7</v>
      </c>
    </row>
    <row r="74" spans="1:3">
      <c r="A74" s="4" t="s">
        <v>1149</v>
      </c>
      <c r="B74" s="4" t="s">
        <v>1150</v>
      </c>
      <c r="C74" s="4">
        <v>2</v>
      </c>
    </row>
    <row r="75" spans="1:3">
      <c r="A75" s="4" t="s">
        <v>1161</v>
      </c>
      <c r="B75" s="4" t="s">
        <v>1162</v>
      </c>
      <c r="C75" s="4">
        <v>2</v>
      </c>
    </row>
    <row r="76" spans="1:3">
      <c r="A76" s="6" t="s">
        <v>1219</v>
      </c>
      <c r="B76" s="6" t="s">
        <v>1220</v>
      </c>
      <c r="C76" s="6">
        <v>0</v>
      </c>
    </row>
    <row r="77" spans="1:3">
      <c r="A77" s="4" t="s">
        <v>1235</v>
      </c>
      <c r="B77" s="4" t="s">
        <v>1236</v>
      </c>
      <c r="C77" s="4">
        <v>4</v>
      </c>
    </row>
    <row r="78" spans="1:3">
      <c r="A78" s="4" t="s">
        <v>1265</v>
      </c>
      <c r="B78" s="4" t="s">
        <v>1266</v>
      </c>
      <c r="C78" s="4">
        <v>2</v>
      </c>
    </row>
    <row r="79" spans="1:3">
      <c r="A79" s="4" t="s">
        <v>1251</v>
      </c>
      <c r="B79" s="4" t="s">
        <v>1252</v>
      </c>
      <c r="C79" s="4">
        <v>13</v>
      </c>
    </row>
    <row r="80" spans="1:3">
      <c r="A80" s="4" t="s">
        <v>1307</v>
      </c>
      <c r="B80" s="4" t="s">
        <v>1308</v>
      </c>
      <c r="C80" s="4">
        <v>3</v>
      </c>
    </row>
    <row r="81" spans="1:3">
      <c r="A81" s="4" t="s">
        <v>1345</v>
      </c>
      <c r="B81" s="4" t="s">
        <v>1346</v>
      </c>
      <c r="C81" s="4">
        <v>1</v>
      </c>
    </row>
    <row r="82" spans="1:3">
      <c r="A82" s="4" t="s">
        <v>1371</v>
      </c>
      <c r="B82" s="4" t="s">
        <v>1372</v>
      </c>
      <c r="C82" s="4">
        <v>2</v>
      </c>
    </row>
    <row r="83" spans="1:3">
      <c r="A83" s="4" t="s">
        <v>1375</v>
      </c>
      <c r="B83" s="4" t="s">
        <v>1376</v>
      </c>
      <c r="C83" s="4">
        <v>1</v>
      </c>
    </row>
    <row r="84" spans="1:3">
      <c r="A84" s="4" t="s">
        <v>1377</v>
      </c>
      <c r="B84" s="4" t="s">
        <v>1378</v>
      </c>
      <c r="C84" s="4">
        <v>8</v>
      </c>
    </row>
    <row r="85" spans="1:3">
      <c r="A85" s="4" t="s">
        <v>1399</v>
      </c>
      <c r="B85" s="4" t="s">
        <v>1400</v>
      </c>
      <c r="C85" s="4">
        <v>4</v>
      </c>
    </row>
    <row r="86" spans="1:3">
      <c r="A86" s="4" t="s">
        <v>1407</v>
      </c>
      <c r="B86" s="4" t="s">
        <v>1408</v>
      </c>
      <c r="C86" s="4">
        <v>66</v>
      </c>
    </row>
    <row r="87" spans="1:3">
      <c r="A87" s="4" t="s">
        <v>1417</v>
      </c>
      <c r="B87" s="4" t="s">
        <v>1418</v>
      </c>
      <c r="C87" s="4">
        <v>46</v>
      </c>
    </row>
    <row r="88" spans="1:3">
      <c r="A88" s="6" t="s">
        <v>1425</v>
      </c>
      <c r="B88" s="6" t="s">
        <v>1426</v>
      </c>
      <c r="C88" s="6">
        <v>0</v>
      </c>
    </row>
    <row r="89" spans="1:3">
      <c r="A89" s="4" t="s">
        <v>1445</v>
      </c>
      <c r="B89" s="4" t="s">
        <v>1446</v>
      </c>
      <c r="C89" s="4">
        <v>1</v>
      </c>
    </row>
    <row r="90" spans="1:3">
      <c r="A90" s="6" t="s">
        <v>1481</v>
      </c>
      <c r="B90" s="6" t="s">
        <v>1482</v>
      </c>
      <c r="C90" s="6">
        <v>-14</v>
      </c>
    </row>
    <row r="91" spans="1:3">
      <c r="A91" s="4" t="s">
        <v>1549</v>
      </c>
      <c r="B91" s="4" t="s">
        <v>1550</v>
      </c>
      <c r="C91" s="4">
        <v>2</v>
      </c>
    </row>
    <row r="92" spans="1:3">
      <c r="A92" s="4" t="s">
        <v>1515</v>
      </c>
      <c r="B92" s="4" t="s">
        <v>1516</v>
      </c>
      <c r="C92" s="4">
        <v>1</v>
      </c>
    </row>
    <row r="93" spans="1:3">
      <c r="A93" s="4" t="s">
        <v>1545</v>
      </c>
      <c r="B93" s="4" t="s">
        <v>1546</v>
      </c>
      <c r="C93" s="4">
        <v>6</v>
      </c>
    </row>
    <row r="94" spans="1:3">
      <c r="A94" s="4" t="s">
        <v>1589</v>
      </c>
      <c r="B94" s="4" t="s">
        <v>1590</v>
      </c>
      <c r="C94" s="4">
        <v>9</v>
      </c>
    </row>
    <row r="95" spans="1:3">
      <c r="A95" s="4" t="s">
        <v>1593</v>
      </c>
      <c r="B95" s="4" t="s">
        <v>1594</v>
      </c>
      <c r="C95" s="4">
        <v>3</v>
      </c>
    </row>
    <row r="96" spans="1:3">
      <c r="A96" s="4" t="s">
        <v>1595</v>
      </c>
      <c r="B96" s="4" t="s">
        <v>1596</v>
      </c>
      <c r="C96" s="4">
        <v>6</v>
      </c>
    </row>
    <row r="97" spans="1:3">
      <c r="A97" s="4" t="s">
        <v>1615</v>
      </c>
      <c r="B97" s="4" t="s">
        <v>1616</v>
      </c>
      <c r="C97" s="4">
        <v>2</v>
      </c>
    </row>
    <row r="98" spans="1:3">
      <c r="A98" s="6" t="s">
        <v>1613</v>
      </c>
      <c r="B98" s="6" t="s">
        <v>1614</v>
      </c>
      <c r="C98" s="6">
        <v>0</v>
      </c>
    </row>
    <row r="99" spans="1:3">
      <c r="A99" s="4" t="s">
        <v>1661</v>
      </c>
      <c r="B99" s="4" t="s">
        <v>2686</v>
      </c>
      <c r="C99" s="4">
        <v>12</v>
      </c>
    </row>
    <row r="100" spans="1:3">
      <c r="A100" s="4" t="s">
        <v>1665</v>
      </c>
      <c r="B100" s="4" t="s">
        <v>1666</v>
      </c>
      <c r="C100" s="4">
        <v>3</v>
      </c>
    </row>
    <row r="101" spans="1:3">
      <c r="A101" s="6" t="s">
        <v>1717</v>
      </c>
      <c r="B101" s="6" t="s">
        <v>1718</v>
      </c>
      <c r="C101" s="6">
        <v>-1</v>
      </c>
    </row>
    <row r="102" spans="1:3">
      <c r="A102" s="4" t="s">
        <v>1687</v>
      </c>
      <c r="B102" s="4" t="s">
        <v>1688</v>
      </c>
      <c r="C102" s="4">
        <v>64</v>
      </c>
    </row>
    <row r="103" spans="1:3">
      <c r="A103" s="4" t="s">
        <v>1695</v>
      </c>
      <c r="B103" s="4" t="s">
        <v>2687</v>
      </c>
      <c r="C103" s="4">
        <v>1</v>
      </c>
    </row>
    <row r="104" spans="1:3">
      <c r="A104" s="4" t="s">
        <v>1713</v>
      </c>
      <c r="B104" s="4" t="s">
        <v>1714</v>
      </c>
      <c r="C104" s="4">
        <v>2</v>
      </c>
    </row>
    <row r="105" spans="1:3">
      <c r="A105" s="4" t="s">
        <v>1727</v>
      </c>
      <c r="B105" s="4" t="s">
        <v>1728</v>
      </c>
      <c r="C105" s="4">
        <v>31</v>
      </c>
    </row>
    <row r="106" spans="1:3">
      <c r="A106" s="4" t="s">
        <v>1743</v>
      </c>
      <c r="B106" s="4" t="s">
        <v>1744</v>
      </c>
      <c r="C106" s="4">
        <v>4</v>
      </c>
    </row>
    <row r="107" spans="1:3">
      <c r="A107" s="4" t="s">
        <v>1771</v>
      </c>
      <c r="B107" s="4" t="s">
        <v>1772</v>
      </c>
      <c r="C107" s="4">
        <v>51</v>
      </c>
    </row>
    <row r="108" spans="1:3">
      <c r="A108" s="6" t="s">
        <v>1781</v>
      </c>
      <c r="B108" s="6" t="s">
        <v>1782</v>
      </c>
      <c r="C108" s="6">
        <v>-1</v>
      </c>
    </row>
    <row r="109" spans="1:3">
      <c r="A109" s="4" t="s">
        <v>1799</v>
      </c>
      <c r="B109" s="4" t="s">
        <v>1800</v>
      </c>
      <c r="C109" s="4">
        <v>1</v>
      </c>
    </row>
    <row r="110" spans="1:3">
      <c r="A110" s="4" t="s">
        <v>1809</v>
      </c>
      <c r="B110" s="4" t="s">
        <v>1810</v>
      </c>
      <c r="C110" s="4">
        <v>50</v>
      </c>
    </row>
    <row r="111" spans="1:3">
      <c r="A111" s="4" t="s">
        <v>1821</v>
      </c>
      <c r="B111" s="4" t="s">
        <v>1822</v>
      </c>
      <c r="C111" s="4">
        <v>16</v>
      </c>
    </row>
    <row r="112" spans="1:3">
      <c r="A112" s="4" t="s">
        <v>1811</v>
      </c>
      <c r="B112" s="4" t="s">
        <v>1812</v>
      </c>
      <c r="C112" s="4">
        <v>1</v>
      </c>
    </row>
    <row r="113" spans="1:3">
      <c r="A113" s="4" t="s">
        <v>1853</v>
      </c>
      <c r="B113" s="4" t="s">
        <v>1854</v>
      </c>
      <c r="C113" s="4">
        <v>8</v>
      </c>
    </row>
    <row r="114" spans="1:3">
      <c r="A114" s="4" t="s">
        <v>1963</v>
      </c>
      <c r="B114" s="4" t="s">
        <v>1964</v>
      </c>
      <c r="C114" s="4">
        <v>1</v>
      </c>
    </row>
    <row r="115" spans="1:3">
      <c r="A115" s="4" t="s">
        <v>1869</v>
      </c>
      <c r="B115" s="4" t="s">
        <v>1870</v>
      </c>
      <c r="C115" s="4">
        <v>4</v>
      </c>
    </row>
    <row r="116" spans="1:3">
      <c r="A116" s="4" t="s">
        <v>1941</v>
      </c>
      <c r="B116" s="4" t="s">
        <v>1942</v>
      </c>
      <c r="C116" s="4">
        <v>1</v>
      </c>
    </row>
    <row r="117" spans="1:3">
      <c r="A117" s="4" t="s">
        <v>1939</v>
      </c>
      <c r="B117" s="4" t="s">
        <v>1940</v>
      </c>
      <c r="C117" s="4">
        <v>1</v>
      </c>
    </row>
    <row r="118" spans="1:3">
      <c r="A118" s="4" t="s">
        <v>1961</v>
      </c>
      <c r="B118" s="4" t="s">
        <v>1962</v>
      </c>
      <c r="C118" s="4">
        <v>11</v>
      </c>
    </row>
    <row r="119" spans="1:3">
      <c r="A119" s="4" t="s">
        <v>1967</v>
      </c>
      <c r="B119" s="4" t="s">
        <v>1968</v>
      </c>
      <c r="C119" s="4">
        <v>84</v>
      </c>
    </row>
    <row r="120" spans="1:3">
      <c r="A120" s="4" t="s">
        <v>1987</v>
      </c>
      <c r="B120" s="4" t="s">
        <v>1988</v>
      </c>
      <c r="C120" s="4">
        <v>2</v>
      </c>
    </row>
    <row r="121" spans="1:3">
      <c r="A121" s="4" t="s">
        <v>1989</v>
      </c>
      <c r="B121" s="4" t="s">
        <v>1990</v>
      </c>
      <c r="C121" s="4">
        <v>17</v>
      </c>
    </row>
    <row r="122" spans="1:3">
      <c r="A122" s="4" t="s">
        <v>2009</v>
      </c>
      <c r="B122" s="4" t="s">
        <v>2010</v>
      </c>
      <c r="C122" s="4">
        <v>7</v>
      </c>
    </row>
    <row r="123" spans="1:3">
      <c r="A123" s="4" t="s">
        <v>1999</v>
      </c>
      <c r="B123" s="4" t="s">
        <v>2000</v>
      </c>
      <c r="C123" s="4">
        <v>16</v>
      </c>
    </row>
    <row r="124" spans="1:3">
      <c r="A124" s="4" t="s">
        <v>2005</v>
      </c>
      <c r="B124" s="4" t="s">
        <v>2006</v>
      </c>
      <c r="C124" s="4">
        <v>9</v>
      </c>
    </row>
    <row r="125" spans="1:3">
      <c r="A125" s="4" t="s">
        <v>2017</v>
      </c>
      <c r="B125" s="4" t="s">
        <v>2018</v>
      </c>
      <c r="C125" s="4">
        <v>6</v>
      </c>
    </row>
    <row r="126" spans="1:3">
      <c r="A126" s="4" t="s">
        <v>2041</v>
      </c>
      <c r="B126" s="4" t="s">
        <v>2042</v>
      </c>
      <c r="C126" s="4">
        <v>7</v>
      </c>
    </row>
    <row r="127" spans="1:3">
      <c r="A127" s="4" t="s">
        <v>2073</v>
      </c>
      <c r="B127" s="4" t="s">
        <v>2074</v>
      </c>
      <c r="C127" s="4">
        <v>87</v>
      </c>
    </row>
    <row r="128" spans="1:3">
      <c r="A128" s="4" t="s">
        <v>2103</v>
      </c>
      <c r="B128" s="4" t="s">
        <v>2104</v>
      </c>
      <c r="C128" s="4">
        <v>1</v>
      </c>
    </row>
    <row r="129" spans="1:3">
      <c r="A129" s="6" t="s">
        <v>2688</v>
      </c>
      <c r="B129" s="6" t="s">
        <v>2689</v>
      </c>
      <c r="C129" s="6">
        <v>0</v>
      </c>
    </row>
    <row r="130" spans="1:3">
      <c r="A130" s="6" t="s">
        <v>2121</v>
      </c>
      <c r="B130" s="6" t="s">
        <v>2122</v>
      </c>
      <c r="C130" s="6">
        <v>-4</v>
      </c>
    </row>
    <row r="131" spans="1:3">
      <c r="A131" s="4" t="s">
        <v>2127</v>
      </c>
      <c r="B131" s="4" t="s">
        <v>2128</v>
      </c>
      <c r="C131" s="4">
        <v>1</v>
      </c>
    </row>
    <row r="132" spans="1:3">
      <c r="A132" s="4" t="s">
        <v>2125</v>
      </c>
      <c r="B132" s="4" t="s">
        <v>2126</v>
      </c>
      <c r="C132" s="4">
        <v>1</v>
      </c>
    </row>
    <row r="133" spans="1:3">
      <c r="A133" s="4" t="s">
        <v>2131</v>
      </c>
      <c r="B133" s="4" t="s">
        <v>2132</v>
      </c>
      <c r="C133" s="4">
        <v>14</v>
      </c>
    </row>
    <row r="134" spans="1:3">
      <c r="A134" s="4" t="s">
        <v>2135</v>
      </c>
      <c r="B134" s="4" t="s">
        <v>2136</v>
      </c>
      <c r="C134" s="4">
        <v>37</v>
      </c>
    </row>
    <row r="135" spans="1:3">
      <c r="A135" s="4" t="s">
        <v>2165</v>
      </c>
      <c r="B135" s="4" t="s">
        <v>2166</v>
      </c>
      <c r="C135" s="4">
        <v>87</v>
      </c>
    </row>
    <row r="136" spans="1:3">
      <c r="A136" s="6" t="s">
        <v>2185</v>
      </c>
      <c r="B136" s="6" t="s">
        <v>2186</v>
      </c>
      <c r="C136" s="6">
        <v>-2</v>
      </c>
    </row>
    <row r="137" spans="1:3">
      <c r="A137" s="4" t="s">
        <v>2187</v>
      </c>
      <c r="B137" s="4" t="s">
        <v>2188</v>
      </c>
      <c r="C137" s="4">
        <v>143</v>
      </c>
    </row>
    <row r="138" spans="1:3">
      <c r="A138" s="4" t="s">
        <v>2195</v>
      </c>
      <c r="B138" s="4" t="s">
        <v>2196</v>
      </c>
      <c r="C138" s="4">
        <v>5</v>
      </c>
    </row>
    <row r="139" spans="1:3">
      <c r="A139" s="4" t="s">
        <v>2269</v>
      </c>
      <c r="B139" s="4" t="s">
        <v>2270</v>
      </c>
      <c r="C139" s="4">
        <v>27</v>
      </c>
    </row>
    <row r="140" spans="1:3">
      <c r="A140" s="4" t="s">
        <v>2690</v>
      </c>
      <c r="B140" s="4" t="s">
        <v>2691</v>
      </c>
      <c r="C140" s="4">
        <v>2</v>
      </c>
    </row>
    <row r="141" spans="1:3">
      <c r="A141" s="4" t="s">
        <v>2233</v>
      </c>
      <c r="B141" s="4" t="s">
        <v>2234</v>
      </c>
      <c r="C141" s="4">
        <v>3</v>
      </c>
    </row>
    <row r="142" spans="1:3">
      <c r="A142" s="4" t="s">
        <v>2235</v>
      </c>
      <c r="B142" s="4" t="s">
        <v>2236</v>
      </c>
      <c r="C142" s="4">
        <v>8</v>
      </c>
    </row>
    <row r="143" spans="1:3">
      <c r="A143" s="4" t="s">
        <v>2257</v>
      </c>
      <c r="B143" s="4" t="s">
        <v>2258</v>
      </c>
      <c r="C143" s="4">
        <v>31</v>
      </c>
    </row>
    <row r="144" spans="1:3">
      <c r="A144" s="4" t="s">
        <v>2259</v>
      </c>
      <c r="B144" s="4" t="s">
        <v>2260</v>
      </c>
      <c r="C144" s="4">
        <v>2</v>
      </c>
    </row>
    <row r="145" spans="1:3">
      <c r="A145" s="4" t="s">
        <v>2275</v>
      </c>
      <c r="B145" s="4" t="s">
        <v>2276</v>
      </c>
      <c r="C145" s="4">
        <v>50</v>
      </c>
    </row>
    <row r="146" spans="1:3">
      <c r="A146" s="4" t="s">
        <v>2281</v>
      </c>
      <c r="B146" s="4" t="s">
        <v>2282</v>
      </c>
      <c r="C146" s="4">
        <v>2</v>
      </c>
    </row>
    <row r="147" spans="1:3">
      <c r="A147" s="4" t="s">
        <v>2303</v>
      </c>
      <c r="B147" s="4" t="s">
        <v>2304</v>
      </c>
      <c r="C147" s="4">
        <v>31</v>
      </c>
    </row>
    <row r="148" spans="1:3">
      <c r="A148" s="4" t="s">
        <v>2692</v>
      </c>
      <c r="B148" s="4" t="s">
        <v>2693</v>
      </c>
      <c r="C148" s="4">
        <v>12</v>
      </c>
    </row>
    <row r="149" spans="1:3">
      <c r="A149" s="4" t="s">
        <v>2333</v>
      </c>
      <c r="B149" s="4" t="s">
        <v>2334</v>
      </c>
      <c r="C149" s="4">
        <v>2</v>
      </c>
    </row>
    <row r="150" spans="1:3">
      <c r="A150" s="4" t="s">
        <v>2341</v>
      </c>
      <c r="B150" s="4" t="s">
        <v>2342</v>
      </c>
      <c r="C150" s="4">
        <v>31</v>
      </c>
    </row>
    <row r="151" spans="1:3">
      <c r="A151" s="4" t="s">
        <v>2355</v>
      </c>
      <c r="B151" s="4" t="s">
        <v>2356</v>
      </c>
      <c r="C151" s="4">
        <v>2</v>
      </c>
    </row>
    <row r="152" spans="1:3">
      <c r="A152" s="4" t="s">
        <v>2377</v>
      </c>
      <c r="B152" s="4" t="s">
        <v>2378</v>
      </c>
      <c r="C152" s="4">
        <v>6</v>
      </c>
    </row>
    <row r="153" spans="1:3">
      <c r="A153" s="4" t="s">
        <v>2421</v>
      </c>
      <c r="B153" s="4" t="s">
        <v>2422</v>
      </c>
      <c r="C153" s="4">
        <v>2</v>
      </c>
    </row>
    <row r="154" spans="1:3">
      <c r="A154" s="4" t="s">
        <v>2385</v>
      </c>
      <c r="B154" s="4" t="s">
        <v>2386</v>
      </c>
      <c r="C154" s="4">
        <v>6</v>
      </c>
    </row>
    <row r="155" spans="1:3">
      <c r="A155" s="4" t="s">
        <v>2411</v>
      </c>
      <c r="B155" s="4" t="s">
        <v>2412</v>
      </c>
      <c r="C155" s="4">
        <v>13</v>
      </c>
    </row>
    <row r="156" spans="1:3">
      <c r="A156" s="4" t="s">
        <v>2491</v>
      </c>
      <c r="B156" s="4" t="s">
        <v>2492</v>
      </c>
      <c r="C156" s="4">
        <v>3</v>
      </c>
    </row>
    <row r="157" spans="1:3">
      <c r="A157" s="4" t="s">
        <v>2694</v>
      </c>
      <c r="B157" s="4" t="s">
        <v>2695</v>
      </c>
      <c r="C157" s="4">
        <v>2</v>
      </c>
    </row>
    <row r="158" spans="1:3">
      <c r="A158" s="4" t="s">
        <v>2445</v>
      </c>
      <c r="B158" s="4" t="s">
        <v>2446</v>
      </c>
      <c r="C158" s="4">
        <v>5</v>
      </c>
    </row>
    <row r="159" spans="1:3">
      <c r="A159" s="4" t="s">
        <v>2509</v>
      </c>
      <c r="B159" s="4" t="s">
        <v>2510</v>
      </c>
      <c r="C159" s="4">
        <v>12</v>
      </c>
    </row>
    <row r="160" spans="1:3">
      <c r="A160" s="4" t="s">
        <v>2523</v>
      </c>
      <c r="B160" s="4" t="s">
        <v>2524</v>
      </c>
      <c r="C160" s="4">
        <v>6</v>
      </c>
    </row>
    <row r="161" spans="1:3">
      <c r="A161" s="4" t="s">
        <v>2521</v>
      </c>
      <c r="B161" s="4" t="s">
        <v>2522</v>
      </c>
      <c r="C161" s="4">
        <v>47</v>
      </c>
    </row>
    <row r="162" spans="1:3">
      <c r="A162" s="4" t="s">
        <v>1049</v>
      </c>
      <c r="B162" s="4" t="s">
        <v>1050</v>
      </c>
      <c r="C162" s="4">
        <v>4</v>
      </c>
    </row>
    <row r="163" spans="1:3">
      <c r="A163" s="4" t="s">
        <v>2589</v>
      </c>
      <c r="B163" s="4" t="s">
        <v>2590</v>
      </c>
      <c r="C163" s="4">
        <v>2</v>
      </c>
    </row>
    <row r="164" spans="1:3">
      <c r="A164" s="4" t="s">
        <v>2595</v>
      </c>
      <c r="B164" s="4" t="s">
        <v>2596</v>
      </c>
      <c r="C164" s="4">
        <v>1</v>
      </c>
    </row>
    <row r="165" spans="1:3">
      <c r="A165" s="4" t="s">
        <v>2623</v>
      </c>
      <c r="B165" s="4" t="s">
        <v>2624</v>
      </c>
      <c r="C165" s="4">
        <v>9</v>
      </c>
    </row>
    <row r="166" spans="1:3">
      <c r="A166" s="4" t="s">
        <v>2635</v>
      </c>
      <c r="B166" s="4" t="s">
        <v>2636</v>
      </c>
      <c r="C166" s="4">
        <v>2</v>
      </c>
    </row>
    <row r="167" spans="1:3">
      <c r="A167" s="4" t="s">
        <v>2639</v>
      </c>
      <c r="B167" s="4" t="s">
        <v>2640</v>
      </c>
      <c r="C167" s="4">
        <v>9</v>
      </c>
    </row>
    <row r="168" spans="1:3">
      <c r="A168" s="4" t="s">
        <v>2657</v>
      </c>
      <c r="B168" s="4" t="s">
        <v>2658</v>
      </c>
      <c r="C168" s="4">
        <v>4</v>
      </c>
    </row>
    <row r="169" spans="1:3">
      <c r="A169" s="4" t="s">
        <v>2665</v>
      </c>
      <c r="B169" s="4" t="s">
        <v>2666</v>
      </c>
      <c r="C169" s="4">
        <v>5</v>
      </c>
    </row>
    <row r="170" spans="1:3">
      <c r="A170" s="4" t="s">
        <v>19</v>
      </c>
      <c r="B170" s="4" t="s">
        <v>20</v>
      </c>
      <c r="C170" s="4">
        <v>61</v>
      </c>
    </row>
    <row r="171" spans="1:3">
      <c r="A171" s="4" t="s">
        <v>11</v>
      </c>
      <c r="B171" s="4" t="s">
        <v>12</v>
      </c>
      <c r="C171" s="4">
        <v>3</v>
      </c>
    </row>
    <row r="172" spans="1:3">
      <c r="A172" s="4" t="s">
        <v>41</v>
      </c>
      <c r="B172" s="4" t="s">
        <v>42</v>
      </c>
      <c r="C172" s="4">
        <v>118</v>
      </c>
    </row>
    <row r="173" spans="1:3">
      <c r="A173" s="4" t="s">
        <v>67</v>
      </c>
      <c r="B173" s="4" t="s">
        <v>68</v>
      </c>
      <c r="C173" s="4">
        <v>3</v>
      </c>
    </row>
    <row r="174" spans="1:3">
      <c r="A174" s="4" t="s">
        <v>85</v>
      </c>
      <c r="B174" s="4" t="s">
        <v>86</v>
      </c>
      <c r="C174" s="4">
        <v>12</v>
      </c>
    </row>
    <row r="175" spans="1:3">
      <c r="A175" s="4" t="s">
        <v>135</v>
      </c>
      <c r="B175" s="4" t="s">
        <v>136</v>
      </c>
      <c r="C175" s="4">
        <v>14</v>
      </c>
    </row>
    <row r="176" spans="1:3">
      <c r="A176" s="4" t="s">
        <v>231</v>
      </c>
      <c r="B176" s="4" t="s">
        <v>232</v>
      </c>
      <c r="C176" s="4">
        <v>44</v>
      </c>
    </row>
    <row r="177" spans="1:3">
      <c r="A177" s="4" t="s">
        <v>9</v>
      </c>
      <c r="B177" s="4" t="s">
        <v>10</v>
      </c>
      <c r="C177" s="4">
        <v>5</v>
      </c>
    </row>
    <row r="178" spans="1:3">
      <c r="A178" s="4" t="s">
        <v>17</v>
      </c>
      <c r="B178" s="4" t="s">
        <v>18</v>
      </c>
      <c r="C178" s="4">
        <v>31</v>
      </c>
    </row>
    <row r="179" spans="1:3">
      <c r="A179" s="4" t="s">
        <v>27</v>
      </c>
      <c r="B179" s="4" t="s">
        <v>28</v>
      </c>
      <c r="C179" s="4">
        <v>32</v>
      </c>
    </row>
    <row r="180" spans="1:3">
      <c r="A180" s="4" t="s">
        <v>29</v>
      </c>
      <c r="B180" s="4" t="s">
        <v>30</v>
      </c>
      <c r="C180" s="4">
        <v>1</v>
      </c>
    </row>
    <row r="181" spans="1:3">
      <c r="A181" s="4" t="s">
        <v>45</v>
      </c>
      <c r="B181" s="4" t="s">
        <v>2674</v>
      </c>
      <c r="C181" s="4">
        <v>565</v>
      </c>
    </row>
    <row r="182" spans="1:3">
      <c r="A182" s="4" t="s">
        <v>37</v>
      </c>
      <c r="B182" s="4" t="s">
        <v>38</v>
      </c>
      <c r="C182" s="4">
        <v>4</v>
      </c>
    </row>
    <row r="183" spans="1:3">
      <c r="A183" s="4" t="s">
        <v>51</v>
      </c>
      <c r="B183" s="4" t="s">
        <v>52</v>
      </c>
      <c r="C183" s="4">
        <v>10</v>
      </c>
    </row>
    <row r="184" spans="1:3">
      <c r="A184" s="4" t="s">
        <v>87</v>
      </c>
      <c r="B184" s="4" t="s">
        <v>88</v>
      </c>
      <c r="C184" s="4">
        <v>7</v>
      </c>
    </row>
    <row r="185" spans="1:3">
      <c r="A185" s="4" t="s">
        <v>111</v>
      </c>
      <c r="B185" s="4" t="s">
        <v>112</v>
      </c>
      <c r="C185" s="4">
        <v>51</v>
      </c>
    </row>
    <row r="186" spans="1:3">
      <c r="A186" s="4" t="s">
        <v>117</v>
      </c>
      <c r="B186" s="4" t="s">
        <v>118</v>
      </c>
      <c r="C186" s="4">
        <v>105</v>
      </c>
    </row>
    <row r="187" spans="1:3">
      <c r="A187" s="4" t="s">
        <v>123</v>
      </c>
      <c r="B187" s="4" t="s">
        <v>124</v>
      </c>
      <c r="C187" s="4">
        <v>87</v>
      </c>
    </row>
    <row r="188" spans="1:3">
      <c r="A188" s="4" t="s">
        <v>133</v>
      </c>
      <c r="B188" s="4" t="s">
        <v>134</v>
      </c>
      <c r="C188" s="4">
        <v>41</v>
      </c>
    </row>
    <row r="189" spans="1:3">
      <c r="A189" s="4" t="s">
        <v>139</v>
      </c>
      <c r="B189" s="4" t="s">
        <v>140</v>
      </c>
      <c r="C189" s="4">
        <v>10</v>
      </c>
    </row>
    <row r="190" spans="1:3">
      <c r="A190" s="4" t="s">
        <v>147</v>
      </c>
      <c r="B190" s="4" t="s">
        <v>148</v>
      </c>
      <c r="C190" s="4">
        <v>24</v>
      </c>
    </row>
    <row r="191" spans="1:3">
      <c r="A191" s="4" t="s">
        <v>157</v>
      </c>
      <c r="B191" s="4" t="s">
        <v>158</v>
      </c>
      <c r="C191" s="4">
        <v>3</v>
      </c>
    </row>
    <row r="192" spans="1:3">
      <c r="A192" s="4" t="s">
        <v>159</v>
      </c>
      <c r="B192" s="4" t="s">
        <v>160</v>
      </c>
      <c r="C192" s="4">
        <v>1</v>
      </c>
    </row>
    <row r="193" spans="1:3">
      <c r="A193" s="4" t="s">
        <v>181</v>
      </c>
      <c r="B193" s="4" t="s">
        <v>182</v>
      </c>
      <c r="C193" s="4">
        <v>35</v>
      </c>
    </row>
    <row r="194" spans="1:3">
      <c r="A194" s="4" t="s">
        <v>195</v>
      </c>
      <c r="B194" s="4" t="s">
        <v>196</v>
      </c>
      <c r="C194" s="4">
        <v>35</v>
      </c>
    </row>
    <row r="195" spans="1:3">
      <c r="A195" s="4" t="s">
        <v>199</v>
      </c>
      <c r="B195" s="4" t="s">
        <v>200</v>
      </c>
      <c r="C195" s="4">
        <v>4</v>
      </c>
    </row>
    <row r="196" spans="1:3">
      <c r="A196" s="4" t="s">
        <v>203</v>
      </c>
      <c r="B196" s="4" t="s">
        <v>204</v>
      </c>
      <c r="C196" s="4">
        <v>1</v>
      </c>
    </row>
    <row r="197" spans="1:3">
      <c r="A197" s="4" t="s">
        <v>207</v>
      </c>
      <c r="B197" s="4" t="s">
        <v>208</v>
      </c>
      <c r="C197" s="4">
        <v>9</v>
      </c>
    </row>
    <row r="198" spans="1:3">
      <c r="A198" s="4" t="s">
        <v>219</v>
      </c>
      <c r="B198" s="4" t="s">
        <v>220</v>
      </c>
      <c r="C198" s="4">
        <v>2</v>
      </c>
    </row>
    <row r="199" spans="1:3">
      <c r="A199" s="4" t="s">
        <v>223</v>
      </c>
      <c r="B199" s="4" t="s">
        <v>224</v>
      </c>
      <c r="C199" s="4">
        <v>1</v>
      </c>
    </row>
    <row r="200" spans="1:3">
      <c r="A200" s="4" t="s">
        <v>229</v>
      </c>
      <c r="B200" s="4" t="s">
        <v>230</v>
      </c>
      <c r="C200" s="4">
        <v>52</v>
      </c>
    </row>
    <row r="201" spans="1:3">
      <c r="A201" s="4" t="s">
        <v>247</v>
      </c>
      <c r="B201" s="4" t="s">
        <v>248</v>
      </c>
      <c r="C201" s="4">
        <v>24</v>
      </c>
    </row>
    <row r="202" spans="1:3">
      <c r="A202" s="4" t="s">
        <v>287</v>
      </c>
      <c r="B202" s="4" t="s">
        <v>288</v>
      </c>
      <c r="C202" s="4">
        <v>5</v>
      </c>
    </row>
    <row r="203" spans="1:3">
      <c r="A203" s="4" t="s">
        <v>285</v>
      </c>
      <c r="B203" s="4" t="s">
        <v>286</v>
      </c>
      <c r="C203" s="4">
        <v>3</v>
      </c>
    </row>
    <row r="204" spans="1:3">
      <c r="A204" s="4" t="s">
        <v>329</v>
      </c>
      <c r="B204" s="4" t="s">
        <v>330</v>
      </c>
      <c r="C204" s="4">
        <v>3</v>
      </c>
    </row>
    <row r="205" spans="1:3">
      <c r="A205" s="4" t="s">
        <v>257</v>
      </c>
      <c r="B205" s="4" t="s">
        <v>258</v>
      </c>
      <c r="C205" s="4">
        <v>66</v>
      </c>
    </row>
    <row r="206" spans="1:3">
      <c r="A206" s="4" t="s">
        <v>259</v>
      </c>
      <c r="B206" s="4" t="s">
        <v>260</v>
      </c>
      <c r="C206" s="4">
        <v>47</v>
      </c>
    </row>
    <row r="207" spans="1:3">
      <c r="A207" s="4" t="s">
        <v>265</v>
      </c>
      <c r="B207" s="4" t="s">
        <v>266</v>
      </c>
      <c r="C207" s="4">
        <v>6</v>
      </c>
    </row>
    <row r="208" spans="1:3">
      <c r="A208" s="4" t="s">
        <v>267</v>
      </c>
      <c r="B208" s="4" t="s">
        <v>268</v>
      </c>
      <c r="C208" s="4">
        <v>35</v>
      </c>
    </row>
    <row r="209" spans="1:3">
      <c r="A209" s="4" t="s">
        <v>283</v>
      </c>
      <c r="B209" s="4" t="s">
        <v>284</v>
      </c>
      <c r="C209" s="4">
        <v>2</v>
      </c>
    </row>
    <row r="210" spans="1:3">
      <c r="A210" s="4" t="s">
        <v>303</v>
      </c>
      <c r="B210" s="4" t="s">
        <v>304</v>
      </c>
      <c r="C210" s="4">
        <v>5</v>
      </c>
    </row>
    <row r="211" spans="1:3">
      <c r="A211" s="4" t="s">
        <v>307</v>
      </c>
      <c r="B211" s="4" t="s">
        <v>308</v>
      </c>
      <c r="C211" s="4">
        <v>321</v>
      </c>
    </row>
    <row r="212" spans="1:3">
      <c r="A212" s="4" t="s">
        <v>311</v>
      </c>
      <c r="B212" s="4" t="s">
        <v>312</v>
      </c>
      <c r="C212" s="4">
        <v>86</v>
      </c>
    </row>
    <row r="213" spans="1:3">
      <c r="A213" s="4" t="s">
        <v>309</v>
      </c>
      <c r="B213" s="4" t="s">
        <v>310</v>
      </c>
      <c r="C213" s="4">
        <v>19</v>
      </c>
    </row>
    <row r="214" spans="1:3">
      <c r="A214" s="4" t="s">
        <v>313</v>
      </c>
      <c r="B214" s="4" t="s">
        <v>314</v>
      </c>
      <c r="C214" s="4">
        <v>31</v>
      </c>
    </row>
    <row r="215" spans="1:3">
      <c r="A215" s="4" t="s">
        <v>323</v>
      </c>
      <c r="B215" s="4" t="s">
        <v>324</v>
      </c>
      <c r="C215" s="4">
        <v>79</v>
      </c>
    </row>
    <row r="216" spans="1:3">
      <c r="A216" s="4" t="s">
        <v>317</v>
      </c>
      <c r="B216" s="4" t="s">
        <v>318</v>
      </c>
      <c r="C216" s="4">
        <v>39</v>
      </c>
    </row>
    <row r="217" spans="1:3">
      <c r="A217" s="4" t="s">
        <v>327</v>
      </c>
      <c r="B217" s="4" t="s">
        <v>328</v>
      </c>
      <c r="C217" s="4">
        <v>328</v>
      </c>
    </row>
    <row r="218" spans="1:3">
      <c r="A218" s="4" t="s">
        <v>325</v>
      </c>
      <c r="B218" s="4" t="s">
        <v>326</v>
      </c>
      <c r="C218" s="4">
        <v>86</v>
      </c>
    </row>
    <row r="219" spans="1:3">
      <c r="A219" s="4" t="s">
        <v>333</v>
      </c>
      <c r="B219" s="4" t="s">
        <v>334</v>
      </c>
      <c r="C219" s="4">
        <v>173</v>
      </c>
    </row>
    <row r="220" spans="1:3">
      <c r="A220" s="4" t="s">
        <v>341</v>
      </c>
      <c r="B220" s="4" t="s">
        <v>342</v>
      </c>
      <c r="C220" s="4">
        <v>2</v>
      </c>
    </row>
    <row r="221" spans="1:3">
      <c r="A221" s="4" t="s">
        <v>349</v>
      </c>
      <c r="B221" s="4" t="s">
        <v>350</v>
      </c>
      <c r="C221" s="4">
        <v>12</v>
      </c>
    </row>
    <row r="222" spans="1:3">
      <c r="A222" s="4" t="s">
        <v>355</v>
      </c>
      <c r="B222" s="4" t="s">
        <v>356</v>
      </c>
      <c r="C222" s="4">
        <v>220</v>
      </c>
    </row>
    <row r="223" spans="1:3">
      <c r="A223" s="4" t="s">
        <v>367</v>
      </c>
      <c r="B223" s="4" t="s">
        <v>368</v>
      </c>
      <c r="C223" s="4">
        <v>67</v>
      </c>
    </row>
    <row r="224" spans="1:3">
      <c r="A224" s="4" t="s">
        <v>371</v>
      </c>
      <c r="B224" s="4" t="s">
        <v>372</v>
      </c>
      <c r="C224" s="4">
        <v>2</v>
      </c>
    </row>
    <row r="225" spans="1:3">
      <c r="A225" s="4" t="s">
        <v>423</v>
      </c>
      <c r="B225" s="4" t="s">
        <v>424</v>
      </c>
      <c r="C225" s="4">
        <v>26</v>
      </c>
    </row>
    <row r="226" spans="1:3">
      <c r="A226" s="4" t="s">
        <v>515</v>
      </c>
      <c r="B226" s="4" t="s">
        <v>516</v>
      </c>
      <c r="C226" s="4">
        <v>62</v>
      </c>
    </row>
    <row r="227" spans="1:3">
      <c r="A227" s="4" t="s">
        <v>381</v>
      </c>
      <c r="B227" s="4" t="s">
        <v>382</v>
      </c>
      <c r="C227" s="4">
        <v>2</v>
      </c>
    </row>
    <row r="228" spans="1:3">
      <c r="A228" s="4" t="s">
        <v>391</v>
      </c>
      <c r="B228" s="4" t="s">
        <v>392</v>
      </c>
      <c r="C228" s="4">
        <v>2</v>
      </c>
    </row>
    <row r="229" spans="1:3">
      <c r="A229" s="4" t="s">
        <v>397</v>
      </c>
      <c r="B229" s="4" t="s">
        <v>398</v>
      </c>
      <c r="C229" s="4">
        <v>2</v>
      </c>
    </row>
    <row r="230" spans="1:3">
      <c r="A230" s="4" t="s">
        <v>389</v>
      </c>
      <c r="B230" s="4" t="s">
        <v>390</v>
      </c>
      <c r="C230" s="4">
        <v>86</v>
      </c>
    </row>
    <row r="231" spans="1:3">
      <c r="A231" s="4" t="s">
        <v>387</v>
      </c>
      <c r="B231" s="4" t="s">
        <v>388</v>
      </c>
      <c r="C231" s="4">
        <v>12</v>
      </c>
    </row>
    <row r="232" spans="1:3">
      <c r="A232" s="4" t="s">
        <v>403</v>
      </c>
      <c r="B232" s="4" t="s">
        <v>404</v>
      </c>
      <c r="C232" s="4">
        <v>1</v>
      </c>
    </row>
    <row r="233" spans="1:3">
      <c r="A233" s="4" t="s">
        <v>409</v>
      </c>
      <c r="B233" s="4" t="s">
        <v>410</v>
      </c>
      <c r="C233" s="4">
        <v>35</v>
      </c>
    </row>
    <row r="234" spans="1:3">
      <c r="A234" s="4" t="s">
        <v>415</v>
      </c>
      <c r="B234" s="4" t="s">
        <v>416</v>
      </c>
      <c r="C234" s="4">
        <v>102</v>
      </c>
    </row>
    <row r="235" spans="1:3">
      <c r="A235" s="4" t="s">
        <v>421</v>
      </c>
      <c r="B235" s="4" t="s">
        <v>422</v>
      </c>
      <c r="C235" s="4">
        <v>187</v>
      </c>
    </row>
    <row r="236" spans="1:3">
      <c r="A236" s="4" t="s">
        <v>419</v>
      </c>
      <c r="B236" s="4" t="s">
        <v>420</v>
      </c>
      <c r="C236" s="4">
        <v>3</v>
      </c>
    </row>
    <row r="237" spans="1:3">
      <c r="A237" s="4" t="s">
        <v>427</v>
      </c>
      <c r="B237" s="4" t="s">
        <v>428</v>
      </c>
      <c r="C237" s="4">
        <v>307</v>
      </c>
    </row>
    <row r="238" spans="1:3">
      <c r="A238" s="4" t="s">
        <v>425</v>
      </c>
      <c r="B238" s="4" t="s">
        <v>426</v>
      </c>
      <c r="C238" s="4">
        <v>16</v>
      </c>
    </row>
    <row r="239" spans="1:3">
      <c r="A239" s="4" t="s">
        <v>437</v>
      </c>
      <c r="B239" s="4" t="s">
        <v>438</v>
      </c>
      <c r="C239" s="4">
        <v>177</v>
      </c>
    </row>
    <row r="240" spans="1:3">
      <c r="A240" s="4" t="s">
        <v>465</v>
      </c>
      <c r="B240" s="4" t="s">
        <v>466</v>
      </c>
      <c r="C240" s="4">
        <v>92</v>
      </c>
    </row>
    <row r="241" spans="1:3">
      <c r="A241" s="4" t="s">
        <v>471</v>
      </c>
      <c r="B241" s="4" t="s">
        <v>472</v>
      </c>
      <c r="C241" s="4">
        <v>10</v>
      </c>
    </row>
    <row r="242" spans="1:3">
      <c r="A242" s="4" t="s">
        <v>477</v>
      </c>
      <c r="B242" s="4" t="s">
        <v>478</v>
      </c>
      <c r="C242" s="4">
        <v>6</v>
      </c>
    </row>
    <row r="243" spans="1:3">
      <c r="A243" s="4" t="s">
        <v>487</v>
      </c>
      <c r="B243" s="4" t="s">
        <v>488</v>
      </c>
      <c r="C243" s="4">
        <v>6</v>
      </c>
    </row>
    <row r="244" spans="1:3">
      <c r="A244" s="4" t="s">
        <v>497</v>
      </c>
      <c r="B244" s="4" t="s">
        <v>498</v>
      </c>
      <c r="C244" s="4">
        <v>2</v>
      </c>
    </row>
    <row r="245" spans="1:3">
      <c r="A245" s="4" t="s">
        <v>499</v>
      </c>
      <c r="B245" s="4" t="s">
        <v>500</v>
      </c>
      <c r="C245" s="4">
        <v>78</v>
      </c>
    </row>
    <row r="246" spans="1:3">
      <c r="A246" s="4" t="s">
        <v>501</v>
      </c>
      <c r="B246" s="4" t="s">
        <v>502</v>
      </c>
      <c r="C246" s="4">
        <v>62</v>
      </c>
    </row>
    <row r="247" spans="1:3">
      <c r="A247" s="4" t="s">
        <v>511</v>
      </c>
      <c r="B247" s="4" t="s">
        <v>512</v>
      </c>
      <c r="C247" s="4">
        <v>327</v>
      </c>
    </row>
    <row r="248" spans="1:3">
      <c r="A248" s="4" t="s">
        <v>519</v>
      </c>
      <c r="B248" s="4" t="s">
        <v>520</v>
      </c>
      <c r="C248" s="4">
        <v>320</v>
      </c>
    </row>
    <row r="249" spans="1:3">
      <c r="A249" s="4" t="s">
        <v>513</v>
      </c>
      <c r="B249" s="4" t="s">
        <v>514</v>
      </c>
      <c r="C249" s="4">
        <v>123</v>
      </c>
    </row>
    <row r="250" spans="1:3">
      <c r="A250" s="4" t="s">
        <v>523</v>
      </c>
      <c r="B250" s="4" t="s">
        <v>524</v>
      </c>
      <c r="C250" s="4">
        <v>47</v>
      </c>
    </row>
    <row r="251" spans="1:3">
      <c r="A251" s="4" t="s">
        <v>529</v>
      </c>
      <c r="B251" s="4" t="s">
        <v>530</v>
      </c>
      <c r="C251" s="4">
        <v>1</v>
      </c>
    </row>
    <row r="252" spans="1:3">
      <c r="A252" s="4" t="s">
        <v>527</v>
      </c>
      <c r="B252" s="4" t="s">
        <v>528</v>
      </c>
      <c r="C252" s="4">
        <v>1</v>
      </c>
    </row>
    <row r="253" spans="1:3">
      <c r="A253" s="4" t="s">
        <v>535</v>
      </c>
      <c r="B253" s="4" t="s">
        <v>536</v>
      </c>
      <c r="C253" s="4">
        <v>7</v>
      </c>
    </row>
    <row r="254" spans="1:3">
      <c r="A254" s="4" t="s">
        <v>541</v>
      </c>
      <c r="B254" s="4" t="s">
        <v>542</v>
      </c>
      <c r="C254" s="4">
        <v>82</v>
      </c>
    </row>
    <row r="255" spans="1:3">
      <c r="A255" s="4" t="s">
        <v>533</v>
      </c>
      <c r="B255" s="4" t="s">
        <v>534</v>
      </c>
      <c r="C255" s="4">
        <v>8</v>
      </c>
    </row>
    <row r="256" spans="1:3">
      <c r="A256" s="4" t="s">
        <v>565</v>
      </c>
      <c r="B256" s="4" t="s">
        <v>566</v>
      </c>
      <c r="C256" s="4">
        <v>28</v>
      </c>
    </row>
    <row r="257" spans="1:3">
      <c r="A257" s="4" t="s">
        <v>571</v>
      </c>
      <c r="B257" s="4" t="s">
        <v>572</v>
      </c>
      <c r="C257" s="4">
        <v>72</v>
      </c>
    </row>
    <row r="258" spans="1:3">
      <c r="A258" s="4" t="s">
        <v>573</v>
      </c>
      <c r="B258" s="4" t="s">
        <v>574</v>
      </c>
      <c r="C258" s="4">
        <v>20</v>
      </c>
    </row>
    <row r="259" spans="1:3">
      <c r="A259" s="4" t="s">
        <v>579</v>
      </c>
      <c r="B259" s="4" t="s">
        <v>580</v>
      </c>
      <c r="C259" s="4">
        <v>97</v>
      </c>
    </row>
    <row r="260" spans="1:3">
      <c r="A260" s="4" t="s">
        <v>625</v>
      </c>
      <c r="B260" s="4" t="s">
        <v>626</v>
      </c>
      <c r="C260" s="4">
        <v>3</v>
      </c>
    </row>
    <row r="261" spans="1:3">
      <c r="A261" s="4" t="s">
        <v>591</v>
      </c>
      <c r="B261" s="4" t="s">
        <v>592</v>
      </c>
      <c r="C261" s="4">
        <v>7</v>
      </c>
    </row>
    <row r="262" spans="1:3">
      <c r="A262" s="4" t="s">
        <v>597</v>
      </c>
      <c r="B262" s="4" t="s">
        <v>598</v>
      </c>
      <c r="C262" s="4">
        <v>27</v>
      </c>
    </row>
    <row r="263" spans="1:3">
      <c r="A263" s="4" t="s">
        <v>599</v>
      </c>
      <c r="B263" s="4" t="s">
        <v>600</v>
      </c>
      <c r="C263" s="4">
        <v>81</v>
      </c>
    </row>
    <row r="264" spans="1:3">
      <c r="A264" s="4" t="s">
        <v>601</v>
      </c>
      <c r="B264" s="4" t="s">
        <v>602</v>
      </c>
      <c r="C264" s="4">
        <v>6</v>
      </c>
    </row>
    <row r="265" spans="1:3">
      <c r="A265" s="4" t="s">
        <v>607</v>
      </c>
      <c r="B265" s="4" t="s">
        <v>608</v>
      </c>
      <c r="C265" s="4">
        <v>76</v>
      </c>
    </row>
    <row r="266" spans="1:3">
      <c r="A266" s="4" t="s">
        <v>613</v>
      </c>
      <c r="B266" s="4" t="s">
        <v>614</v>
      </c>
      <c r="C266" s="4">
        <v>18</v>
      </c>
    </row>
    <row r="267" spans="1:3">
      <c r="A267" s="4" t="s">
        <v>615</v>
      </c>
      <c r="B267" s="4" t="s">
        <v>616</v>
      </c>
      <c r="C267" s="4">
        <v>54</v>
      </c>
    </row>
    <row r="268" spans="1:3">
      <c r="A268" s="4" t="s">
        <v>617</v>
      </c>
      <c r="B268" s="4" t="s">
        <v>618</v>
      </c>
      <c r="C268" s="4">
        <v>1384</v>
      </c>
    </row>
    <row r="269" spans="1:3">
      <c r="A269" s="4" t="s">
        <v>629</v>
      </c>
      <c r="B269" s="4" t="s">
        <v>630</v>
      </c>
      <c r="C269" s="4">
        <v>5</v>
      </c>
    </row>
    <row r="270" spans="1:3">
      <c r="A270" s="4" t="s">
        <v>643</v>
      </c>
      <c r="B270" s="4" t="s">
        <v>644</v>
      </c>
      <c r="C270" s="4">
        <v>14</v>
      </c>
    </row>
    <row r="271" spans="1:3">
      <c r="A271" s="4" t="s">
        <v>637</v>
      </c>
      <c r="B271" s="4" t="s">
        <v>638</v>
      </c>
      <c r="C271" s="4">
        <v>5</v>
      </c>
    </row>
    <row r="272" spans="1:3">
      <c r="A272" s="4" t="s">
        <v>655</v>
      </c>
      <c r="B272" s="4" t="s">
        <v>656</v>
      </c>
      <c r="C272" s="4">
        <v>52</v>
      </c>
    </row>
    <row r="273" spans="1:3">
      <c r="A273" s="4" t="s">
        <v>657</v>
      </c>
      <c r="B273" s="4" t="s">
        <v>658</v>
      </c>
      <c r="C273" s="4">
        <v>53</v>
      </c>
    </row>
    <row r="274" spans="1:3">
      <c r="A274" s="4" t="s">
        <v>661</v>
      </c>
      <c r="B274" s="4" t="s">
        <v>662</v>
      </c>
      <c r="C274" s="4">
        <v>79</v>
      </c>
    </row>
    <row r="275" spans="1:3">
      <c r="A275" s="4" t="s">
        <v>659</v>
      </c>
      <c r="B275" s="4" t="s">
        <v>660</v>
      </c>
      <c r="C275" s="4">
        <v>48</v>
      </c>
    </row>
    <row r="276" spans="1:3">
      <c r="A276" s="4" t="s">
        <v>671</v>
      </c>
      <c r="B276" s="4" t="s">
        <v>672</v>
      </c>
      <c r="C276" s="4">
        <v>1</v>
      </c>
    </row>
    <row r="277" spans="1:3">
      <c r="A277" s="4" t="s">
        <v>675</v>
      </c>
      <c r="B277" s="4" t="s">
        <v>676</v>
      </c>
      <c r="C277" s="4">
        <v>1</v>
      </c>
    </row>
    <row r="278" spans="1:3">
      <c r="A278" s="4" t="s">
        <v>677</v>
      </c>
      <c r="B278" s="4" t="s">
        <v>678</v>
      </c>
      <c r="C278" s="4">
        <v>4</v>
      </c>
    </row>
    <row r="279" spans="1:3">
      <c r="A279" s="4" t="s">
        <v>687</v>
      </c>
      <c r="B279" s="4" t="s">
        <v>688</v>
      </c>
      <c r="C279" s="4">
        <v>4</v>
      </c>
    </row>
    <row r="280" spans="1:3">
      <c r="A280" s="4" t="s">
        <v>683</v>
      </c>
      <c r="B280" s="4" t="s">
        <v>684</v>
      </c>
      <c r="C280" s="4">
        <v>38</v>
      </c>
    </row>
    <row r="281" spans="1:3">
      <c r="A281" s="4" t="s">
        <v>691</v>
      </c>
      <c r="B281" s="4" t="s">
        <v>692</v>
      </c>
      <c r="C281" s="4">
        <v>57</v>
      </c>
    </row>
    <row r="282" spans="1:3">
      <c r="A282" s="4" t="s">
        <v>695</v>
      </c>
      <c r="B282" s="4" t="s">
        <v>696</v>
      </c>
      <c r="C282" s="4">
        <v>41</v>
      </c>
    </row>
    <row r="283" spans="1:3">
      <c r="A283" s="4" t="s">
        <v>693</v>
      </c>
      <c r="B283" s="4" t="s">
        <v>694</v>
      </c>
      <c r="C283" s="4">
        <v>58</v>
      </c>
    </row>
    <row r="284" spans="1:3">
      <c r="A284" s="4" t="s">
        <v>707</v>
      </c>
      <c r="B284" s="4" t="s">
        <v>708</v>
      </c>
      <c r="C284" s="4">
        <v>1</v>
      </c>
    </row>
    <row r="285" spans="1:3">
      <c r="A285" s="4" t="s">
        <v>711</v>
      </c>
      <c r="B285" s="4" t="s">
        <v>712</v>
      </c>
      <c r="C285" s="4">
        <v>5</v>
      </c>
    </row>
    <row r="286" spans="1:3">
      <c r="A286" s="4" t="s">
        <v>717</v>
      </c>
      <c r="B286" s="4" t="s">
        <v>718</v>
      </c>
      <c r="C286" s="4">
        <v>7</v>
      </c>
    </row>
    <row r="287" spans="1:3">
      <c r="A287" s="4" t="s">
        <v>737</v>
      </c>
      <c r="B287" s="4" t="s">
        <v>738</v>
      </c>
      <c r="C287" s="4">
        <v>10</v>
      </c>
    </row>
    <row r="288" spans="1:3">
      <c r="A288" s="4" t="s">
        <v>741</v>
      </c>
      <c r="B288" s="4" t="s">
        <v>742</v>
      </c>
      <c r="C288" s="4">
        <v>2</v>
      </c>
    </row>
    <row r="289" spans="1:3">
      <c r="A289" s="4" t="s">
        <v>755</v>
      </c>
      <c r="B289" s="4" t="s">
        <v>756</v>
      </c>
      <c r="C289" s="4">
        <v>34</v>
      </c>
    </row>
    <row r="290" spans="1:3">
      <c r="A290" s="4" t="s">
        <v>731</v>
      </c>
      <c r="B290" s="4" t="s">
        <v>732</v>
      </c>
      <c r="C290" s="4">
        <v>8</v>
      </c>
    </row>
    <row r="291" spans="1:3">
      <c r="A291" s="4" t="s">
        <v>733</v>
      </c>
      <c r="B291" s="4" t="s">
        <v>734</v>
      </c>
      <c r="C291" s="4">
        <v>14</v>
      </c>
    </row>
    <row r="292" spans="1:3">
      <c r="A292" s="4" t="s">
        <v>743</v>
      </c>
      <c r="B292" s="4" t="s">
        <v>744</v>
      </c>
      <c r="C292" s="4">
        <v>63</v>
      </c>
    </row>
    <row r="293" spans="1:3">
      <c r="A293" s="4" t="s">
        <v>759</v>
      </c>
      <c r="B293" s="4" t="s">
        <v>760</v>
      </c>
      <c r="C293" s="4">
        <v>64</v>
      </c>
    </row>
    <row r="294" spans="1:3">
      <c r="A294" s="4" t="s">
        <v>761</v>
      </c>
      <c r="B294" s="4" t="s">
        <v>762</v>
      </c>
      <c r="C294" s="4">
        <v>102</v>
      </c>
    </row>
    <row r="295" spans="1:3">
      <c r="A295" s="4" t="s">
        <v>767</v>
      </c>
      <c r="B295" s="4" t="s">
        <v>768</v>
      </c>
      <c r="C295" s="4">
        <v>2</v>
      </c>
    </row>
    <row r="296" spans="1:3">
      <c r="A296" s="4" t="s">
        <v>765</v>
      </c>
      <c r="B296" s="4" t="s">
        <v>766</v>
      </c>
      <c r="C296" s="4">
        <v>6</v>
      </c>
    </row>
    <row r="297" spans="1:3">
      <c r="A297" s="4" t="s">
        <v>763</v>
      </c>
      <c r="B297" s="4" t="s">
        <v>764</v>
      </c>
      <c r="C297" s="4">
        <v>32</v>
      </c>
    </row>
    <row r="298" spans="1:3">
      <c r="A298" s="4" t="s">
        <v>787</v>
      </c>
      <c r="B298" s="4" t="s">
        <v>2675</v>
      </c>
      <c r="C298" s="4">
        <v>10</v>
      </c>
    </row>
    <row r="299" spans="1:3">
      <c r="A299" s="4" t="s">
        <v>793</v>
      </c>
      <c r="B299" s="4" t="s">
        <v>794</v>
      </c>
      <c r="C299" s="4">
        <v>16</v>
      </c>
    </row>
    <row r="300" spans="1:3">
      <c r="A300" s="4" t="s">
        <v>819</v>
      </c>
      <c r="B300" s="4" t="s">
        <v>820</v>
      </c>
      <c r="C300" s="4">
        <v>3</v>
      </c>
    </row>
    <row r="301" spans="1:3">
      <c r="A301" s="4" t="s">
        <v>821</v>
      </c>
      <c r="B301" s="4" t="s">
        <v>822</v>
      </c>
      <c r="C301" s="4">
        <v>27</v>
      </c>
    </row>
    <row r="302" spans="1:3">
      <c r="A302" s="4" t="s">
        <v>833</v>
      </c>
      <c r="B302" s="4" t="s">
        <v>834</v>
      </c>
      <c r="C302" s="4">
        <v>83</v>
      </c>
    </row>
    <row r="303" spans="1:3">
      <c r="A303" s="4" t="s">
        <v>835</v>
      </c>
      <c r="B303" s="4" t="s">
        <v>836</v>
      </c>
      <c r="C303" s="4">
        <v>11</v>
      </c>
    </row>
    <row r="304" spans="1:3">
      <c r="A304" s="4" t="s">
        <v>837</v>
      </c>
      <c r="B304" s="4" t="s">
        <v>838</v>
      </c>
      <c r="C304" s="4">
        <v>31</v>
      </c>
    </row>
    <row r="305" spans="1:3">
      <c r="A305" s="4" t="s">
        <v>845</v>
      </c>
      <c r="B305" s="4" t="s">
        <v>846</v>
      </c>
      <c r="C305" s="4">
        <v>2</v>
      </c>
    </row>
    <row r="306" spans="1:3">
      <c r="A306" s="4" t="s">
        <v>853</v>
      </c>
      <c r="B306" s="4" t="s">
        <v>854</v>
      </c>
      <c r="C306" s="4">
        <v>2</v>
      </c>
    </row>
    <row r="307" spans="1:3">
      <c r="A307" s="4" t="s">
        <v>857</v>
      </c>
      <c r="B307" s="4" t="s">
        <v>858</v>
      </c>
      <c r="C307" s="4">
        <v>2</v>
      </c>
    </row>
    <row r="308" spans="1:3">
      <c r="A308" s="4" t="s">
        <v>859</v>
      </c>
      <c r="B308" s="4" t="s">
        <v>860</v>
      </c>
      <c r="C308" s="4">
        <v>87</v>
      </c>
    </row>
    <row r="309" spans="1:3">
      <c r="A309" s="4" t="s">
        <v>873</v>
      </c>
      <c r="B309" s="4" t="s">
        <v>874</v>
      </c>
      <c r="C309" s="4">
        <v>15</v>
      </c>
    </row>
    <row r="310" spans="1:3">
      <c r="A310" s="4" t="s">
        <v>877</v>
      </c>
      <c r="B310" s="4" t="s">
        <v>878</v>
      </c>
      <c r="C310" s="4">
        <v>441</v>
      </c>
    </row>
    <row r="311" spans="1:3">
      <c r="A311" s="4" t="s">
        <v>879</v>
      </c>
      <c r="B311" s="4" t="s">
        <v>880</v>
      </c>
      <c r="C311" s="4">
        <v>3</v>
      </c>
    </row>
    <row r="312" spans="1:3">
      <c r="A312" s="4" t="s">
        <v>889</v>
      </c>
      <c r="B312" s="4" t="s">
        <v>890</v>
      </c>
      <c r="C312" s="4">
        <v>13</v>
      </c>
    </row>
    <row r="313" spans="1:3">
      <c r="A313" s="4" t="s">
        <v>893</v>
      </c>
      <c r="B313" s="4" t="s">
        <v>894</v>
      </c>
      <c r="C313" s="4">
        <v>1</v>
      </c>
    </row>
    <row r="314" spans="1:3">
      <c r="A314" s="4" t="s">
        <v>909</v>
      </c>
      <c r="B314" s="4" t="s">
        <v>910</v>
      </c>
      <c r="C314" s="4">
        <v>20</v>
      </c>
    </row>
    <row r="315" spans="1:3">
      <c r="A315" s="4" t="s">
        <v>941</v>
      </c>
      <c r="B315" s="4" t="s">
        <v>942</v>
      </c>
      <c r="C315" s="4">
        <v>62</v>
      </c>
    </row>
    <row r="316" spans="1:3">
      <c r="A316" s="4" t="s">
        <v>935</v>
      </c>
      <c r="B316" s="4" t="s">
        <v>936</v>
      </c>
      <c r="C316" s="4">
        <v>21</v>
      </c>
    </row>
    <row r="317" spans="1:3">
      <c r="A317" s="4" t="s">
        <v>927</v>
      </c>
      <c r="B317" s="4" t="s">
        <v>928</v>
      </c>
      <c r="C317" s="4">
        <v>28</v>
      </c>
    </row>
    <row r="318" spans="1:3">
      <c r="A318" s="4" t="s">
        <v>937</v>
      </c>
      <c r="B318" s="4" t="s">
        <v>938</v>
      </c>
      <c r="C318" s="4">
        <v>65</v>
      </c>
    </row>
    <row r="319" spans="1:3">
      <c r="A319" s="4" t="s">
        <v>959</v>
      </c>
      <c r="B319" s="4" t="s">
        <v>960</v>
      </c>
      <c r="C319" s="4">
        <v>17</v>
      </c>
    </row>
    <row r="320" spans="1:3">
      <c r="A320" s="4" t="s">
        <v>969</v>
      </c>
      <c r="B320" s="4" t="s">
        <v>970</v>
      </c>
      <c r="C320" s="4">
        <v>5</v>
      </c>
    </row>
    <row r="321" spans="1:3">
      <c r="A321" s="4" t="s">
        <v>967</v>
      </c>
      <c r="B321" s="4" t="s">
        <v>968</v>
      </c>
      <c r="C321" s="4">
        <v>20</v>
      </c>
    </row>
    <row r="322" spans="1:3">
      <c r="A322" s="4" t="s">
        <v>987</v>
      </c>
      <c r="B322" s="4" t="s">
        <v>988</v>
      </c>
      <c r="C322" s="4">
        <v>1</v>
      </c>
    </row>
    <row r="323" spans="1:3">
      <c r="A323" s="4" t="s">
        <v>1031</v>
      </c>
      <c r="B323" s="4" t="s">
        <v>1032</v>
      </c>
      <c r="C323" s="4">
        <v>4</v>
      </c>
    </row>
    <row r="324" spans="1:3">
      <c r="A324" s="4" t="s">
        <v>1013</v>
      </c>
      <c r="B324" s="4" t="s">
        <v>1014</v>
      </c>
      <c r="C324" s="4">
        <v>393</v>
      </c>
    </row>
    <row r="325" spans="1:3">
      <c r="A325" s="4" t="s">
        <v>1017</v>
      </c>
      <c r="B325" s="4" t="s">
        <v>1018</v>
      </c>
      <c r="C325" s="4">
        <v>149</v>
      </c>
    </row>
    <row r="326" spans="1:3">
      <c r="A326" s="4" t="s">
        <v>1027</v>
      </c>
      <c r="B326" s="4" t="s">
        <v>1028</v>
      </c>
      <c r="C326" s="4">
        <v>1</v>
      </c>
    </row>
    <row r="327" spans="1:3">
      <c r="A327" s="4" t="s">
        <v>1033</v>
      </c>
      <c r="B327" s="4" t="s">
        <v>1034</v>
      </c>
      <c r="C327" s="4">
        <v>8</v>
      </c>
    </row>
    <row r="328" spans="1:3">
      <c r="A328" s="4" t="s">
        <v>1051</v>
      </c>
      <c r="B328" s="4" t="s">
        <v>1052</v>
      </c>
      <c r="C328" s="4">
        <v>151</v>
      </c>
    </row>
    <row r="329" spans="1:3">
      <c r="A329" s="4" t="s">
        <v>1065</v>
      </c>
      <c r="B329" s="4" t="s">
        <v>1066</v>
      </c>
      <c r="C329" s="4">
        <v>2</v>
      </c>
    </row>
    <row r="330" spans="1:3">
      <c r="A330" s="4" t="s">
        <v>1069</v>
      </c>
      <c r="B330" s="4" t="s">
        <v>1070</v>
      </c>
      <c r="C330" s="4">
        <v>19</v>
      </c>
    </row>
    <row r="331" spans="1:3">
      <c r="A331" s="4" t="s">
        <v>1079</v>
      </c>
      <c r="B331" s="4" t="s">
        <v>1080</v>
      </c>
      <c r="C331" s="4">
        <v>21</v>
      </c>
    </row>
    <row r="332" spans="1:3">
      <c r="A332" s="4" t="s">
        <v>1077</v>
      </c>
      <c r="B332" s="4" t="s">
        <v>1078</v>
      </c>
      <c r="C332" s="4">
        <v>36</v>
      </c>
    </row>
    <row r="333" spans="1:3">
      <c r="A333" s="4" t="s">
        <v>1109</v>
      </c>
      <c r="B333" s="4" t="s">
        <v>1110</v>
      </c>
      <c r="C333" s="4">
        <v>2</v>
      </c>
    </row>
    <row r="334" spans="1:3">
      <c r="A334" s="4" t="s">
        <v>1151</v>
      </c>
      <c r="B334" s="4" t="s">
        <v>1152</v>
      </c>
      <c r="C334" s="4">
        <v>11</v>
      </c>
    </row>
    <row r="335" spans="1:3">
      <c r="A335" s="4" t="s">
        <v>1171</v>
      </c>
      <c r="B335" s="4" t="s">
        <v>1172</v>
      </c>
      <c r="C335" s="4">
        <v>5</v>
      </c>
    </row>
    <row r="336" spans="1:3">
      <c r="A336" s="4" t="s">
        <v>1111</v>
      </c>
      <c r="B336" s="4" t="s">
        <v>1112</v>
      </c>
      <c r="C336" s="4">
        <v>54</v>
      </c>
    </row>
    <row r="337" spans="1:3">
      <c r="A337" s="4" t="s">
        <v>1127</v>
      </c>
      <c r="B337" s="4" t="s">
        <v>1128</v>
      </c>
      <c r="C337" s="4">
        <v>34</v>
      </c>
    </row>
    <row r="338" spans="1:3">
      <c r="A338" s="4" t="s">
        <v>1131</v>
      </c>
      <c r="B338" s="4" t="s">
        <v>1132</v>
      </c>
      <c r="C338" s="4">
        <v>11</v>
      </c>
    </row>
    <row r="339" spans="1:3">
      <c r="A339" s="4" t="s">
        <v>1133</v>
      </c>
      <c r="B339" s="4" t="s">
        <v>1134</v>
      </c>
      <c r="C339" s="4">
        <v>32</v>
      </c>
    </row>
    <row r="340" spans="1:3">
      <c r="A340" s="4" t="s">
        <v>1141</v>
      </c>
      <c r="B340" s="4" t="s">
        <v>1142</v>
      </c>
      <c r="C340" s="4">
        <v>2</v>
      </c>
    </row>
    <row r="341" spans="1:3">
      <c r="A341" s="4" t="s">
        <v>1147</v>
      </c>
      <c r="B341" s="4" t="s">
        <v>1148</v>
      </c>
      <c r="C341" s="4">
        <v>9</v>
      </c>
    </row>
    <row r="342" spans="1:3">
      <c r="A342" s="4" t="s">
        <v>1175</v>
      </c>
      <c r="B342" s="4" t="s">
        <v>1176</v>
      </c>
      <c r="C342" s="4">
        <v>1</v>
      </c>
    </row>
    <row r="343" spans="1:3">
      <c r="A343" s="4" t="s">
        <v>1167</v>
      </c>
      <c r="B343" s="4" t="s">
        <v>1168</v>
      </c>
      <c r="C343" s="4">
        <v>3</v>
      </c>
    </row>
    <row r="344" spans="1:3">
      <c r="A344" s="4" t="s">
        <v>1173</v>
      </c>
      <c r="B344" s="4" t="s">
        <v>1174</v>
      </c>
      <c r="C344" s="4">
        <v>104</v>
      </c>
    </row>
    <row r="345" spans="1:3">
      <c r="A345" s="4" t="s">
        <v>1187</v>
      </c>
      <c r="B345" s="4" t="s">
        <v>1188</v>
      </c>
      <c r="C345" s="4">
        <v>38</v>
      </c>
    </row>
    <row r="346" spans="1:3">
      <c r="A346" s="4" t="s">
        <v>1191</v>
      </c>
      <c r="B346" s="4" t="s">
        <v>1192</v>
      </c>
      <c r="C346" s="4">
        <v>17</v>
      </c>
    </row>
    <row r="347" spans="1:3">
      <c r="A347" s="4" t="s">
        <v>1185</v>
      </c>
      <c r="B347" s="4" t="s">
        <v>1186</v>
      </c>
      <c r="C347" s="4">
        <v>3</v>
      </c>
    </row>
    <row r="348" spans="1:3">
      <c r="A348" s="4" t="s">
        <v>1189</v>
      </c>
      <c r="B348" s="4" t="s">
        <v>1190</v>
      </c>
      <c r="C348" s="4">
        <v>50</v>
      </c>
    </row>
    <row r="349" spans="1:3">
      <c r="A349" s="4" t="s">
        <v>1227</v>
      </c>
      <c r="B349" s="4" t="s">
        <v>1228</v>
      </c>
      <c r="C349" s="4">
        <v>1</v>
      </c>
    </row>
    <row r="350" spans="1:3">
      <c r="A350" s="4" t="s">
        <v>1209</v>
      </c>
      <c r="B350" s="4" t="s">
        <v>1210</v>
      </c>
      <c r="C350" s="4">
        <v>50</v>
      </c>
    </row>
    <row r="351" spans="1:3">
      <c r="A351" s="4" t="s">
        <v>1221</v>
      </c>
      <c r="B351" s="4" t="s">
        <v>1222</v>
      </c>
      <c r="C351" s="4">
        <v>32</v>
      </c>
    </row>
    <row r="352" spans="1:3">
      <c r="A352" s="4" t="s">
        <v>1233</v>
      </c>
      <c r="B352" s="4" t="s">
        <v>1234</v>
      </c>
      <c r="C352" s="4">
        <v>51</v>
      </c>
    </row>
    <row r="353" spans="1:3">
      <c r="A353" s="4" t="s">
        <v>1243</v>
      </c>
      <c r="B353" s="4" t="s">
        <v>1244</v>
      </c>
      <c r="C353" s="4">
        <v>2</v>
      </c>
    </row>
    <row r="354" spans="1:3">
      <c r="A354" s="4" t="s">
        <v>1245</v>
      </c>
      <c r="B354" s="4" t="s">
        <v>1246</v>
      </c>
      <c r="C354" s="4">
        <v>7</v>
      </c>
    </row>
    <row r="355" spans="1:3">
      <c r="A355" s="4" t="s">
        <v>1325</v>
      </c>
      <c r="B355" s="4" t="s">
        <v>1326</v>
      </c>
      <c r="C355" s="4">
        <v>10</v>
      </c>
    </row>
    <row r="356" spans="1:3">
      <c r="A356" s="4" t="s">
        <v>1249</v>
      </c>
      <c r="B356" s="4" t="s">
        <v>1250</v>
      </c>
      <c r="C356" s="4">
        <v>8</v>
      </c>
    </row>
    <row r="357" spans="1:3">
      <c r="A357" s="4" t="s">
        <v>1257</v>
      </c>
      <c r="B357" s="4" t="s">
        <v>1258</v>
      </c>
      <c r="C357" s="4">
        <v>2</v>
      </c>
    </row>
    <row r="358" spans="1:3">
      <c r="A358" s="4" t="s">
        <v>1259</v>
      </c>
      <c r="B358" s="4" t="s">
        <v>1260</v>
      </c>
      <c r="C358" s="4">
        <v>12</v>
      </c>
    </row>
    <row r="359" spans="1:3">
      <c r="A359" s="4" t="s">
        <v>1263</v>
      </c>
      <c r="B359" s="4" t="s">
        <v>1264</v>
      </c>
      <c r="C359" s="4">
        <v>6</v>
      </c>
    </row>
    <row r="360" spans="1:3">
      <c r="A360" s="4" t="s">
        <v>1269</v>
      </c>
      <c r="B360" s="4" t="s">
        <v>1270</v>
      </c>
      <c r="C360" s="4">
        <v>9</v>
      </c>
    </row>
    <row r="361" spans="1:3">
      <c r="A361" s="4" t="s">
        <v>1279</v>
      </c>
      <c r="B361" s="4" t="s">
        <v>1280</v>
      </c>
      <c r="C361" s="4">
        <v>3</v>
      </c>
    </row>
    <row r="362" spans="1:3">
      <c r="A362" s="4" t="s">
        <v>1291</v>
      </c>
      <c r="B362" s="4" t="s">
        <v>1292</v>
      </c>
      <c r="C362" s="4">
        <v>27</v>
      </c>
    </row>
    <row r="363" spans="1:3">
      <c r="A363" s="4" t="s">
        <v>1295</v>
      </c>
      <c r="B363" s="4" t="s">
        <v>1296</v>
      </c>
      <c r="C363" s="4">
        <v>35</v>
      </c>
    </row>
    <row r="364" spans="1:3">
      <c r="A364" s="4" t="s">
        <v>1301</v>
      </c>
      <c r="B364" s="4" t="s">
        <v>1302</v>
      </c>
      <c r="C364" s="4">
        <v>13</v>
      </c>
    </row>
    <row r="365" spans="1:3">
      <c r="A365" s="4" t="s">
        <v>1311</v>
      </c>
      <c r="B365" s="4" t="s">
        <v>1312</v>
      </c>
      <c r="C365" s="4">
        <v>115</v>
      </c>
    </row>
    <row r="366" spans="1:3">
      <c r="A366" s="4" t="s">
        <v>1309</v>
      </c>
      <c r="B366" s="4" t="s">
        <v>1310</v>
      </c>
      <c r="C366" s="4">
        <v>2</v>
      </c>
    </row>
    <row r="367" spans="1:3">
      <c r="A367" s="4" t="s">
        <v>1313</v>
      </c>
      <c r="B367" s="4" t="s">
        <v>1314</v>
      </c>
      <c r="C367" s="4">
        <v>6</v>
      </c>
    </row>
    <row r="368" spans="1:3">
      <c r="A368" s="4" t="s">
        <v>1317</v>
      </c>
      <c r="B368" s="4" t="s">
        <v>1318</v>
      </c>
      <c r="C368" s="4">
        <v>18</v>
      </c>
    </row>
    <row r="369" spans="1:3">
      <c r="A369" s="4" t="s">
        <v>1315</v>
      </c>
      <c r="B369" s="4" t="s">
        <v>1316</v>
      </c>
      <c r="C369" s="4">
        <v>134</v>
      </c>
    </row>
    <row r="370" spans="1:3">
      <c r="A370" s="4" t="s">
        <v>1321</v>
      </c>
      <c r="B370" s="4" t="s">
        <v>1322</v>
      </c>
      <c r="C370" s="4">
        <v>67</v>
      </c>
    </row>
    <row r="371" spans="1:3">
      <c r="A371" s="4" t="s">
        <v>1327</v>
      </c>
      <c r="B371" s="4" t="s">
        <v>1328</v>
      </c>
      <c r="C371" s="4">
        <v>14</v>
      </c>
    </row>
    <row r="372" spans="1:3">
      <c r="A372" s="4" t="s">
        <v>1323</v>
      </c>
      <c r="B372" s="4" t="s">
        <v>1324</v>
      </c>
      <c r="C372" s="4">
        <v>22</v>
      </c>
    </row>
    <row r="373" spans="1:3">
      <c r="A373" s="4" t="s">
        <v>1333</v>
      </c>
      <c r="B373" s="4" t="s">
        <v>1334</v>
      </c>
      <c r="C373" s="4">
        <v>15</v>
      </c>
    </row>
    <row r="374" spans="1:3">
      <c r="A374" s="4" t="s">
        <v>1341</v>
      </c>
      <c r="B374" s="4" t="s">
        <v>1342</v>
      </c>
      <c r="C374" s="4">
        <v>87</v>
      </c>
    </row>
    <row r="375" spans="1:3">
      <c r="A375" s="4" t="s">
        <v>1343</v>
      </c>
      <c r="B375" s="4" t="s">
        <v>1344</v>
      </c>
      <c r="C375" s="4">
        <v>16</v>
      </c>
    </row>
    <row r="376" spans="1:3">
      <c r="A376" s="4" t="s">
        <v>1347</v>
      </c>
      <c r="B376" s="4" t="s">
        <v>1348</v>
      </c>
      <c r="C376" s="4">
        <v>22</v>
      </c>
    </row>
    <row r="377" spans="1:3">
      <c r="A377" s="4" t="s">
        <v>1349</v>
      </c>
      <c r="B377" s="4" t="s">
        <v>1350</v>
      </c>
      <c r="C377" s="4">
        <v>265</v>
      </c>
    </row>
    <row r="378" spans="1:3">
      <c r="A378" s="4" t="s">
        <v>1363</v>
      </c>
      <c r="B378" s="4" t="s">
        <v>1364</v>
      </c>
      <c r="C378" s="4">
        <v>96</v>
      </c>
    </row>
    <row r="379" spans="1:3">
      <c r="A379" s="4" t="s">
        <v>1369</v>
      </c>
      <c r="B379" s="4" t="s">
        <v>1370</v>
      </c>
      <c r="C379" s="4">
        <v>45</v>
      </c>
    </row>
    <row r="380" spans="1:3">
      <c r="A380" s="4" t="s">
        <v>1365</v>
      </c>
      <c r="B380" s="4" t="s">
        <v>1366</v>
      </c>
      <c r="C380" s="4">
        <v>2</v>
      </c>
    </row>
    <row r="381" spans="1:3">
      <c r="A381" s="4" t="s">
        <v>1367</v>
      </c>
      <c r="B381" s="4" t="s">
        <v>1368</v>
      </c>
      <c r="C381" s="4">
        <v>3</v>
      </c>
    </row>
    <row r="382" spans="1:3">
      <c r="A382" s="4" t="s">
        <v>1373</v>
      </c>
      <c r="B382" s="4" t="s">
        <v>1374</v>
      </c>
      <c r="C382" s="4">
        <v>363</v>
      </c>
    </row>
    <row r="383" spans="1:3">
      <c r="A383" s="4" t="s">
        <v>1387</v>
      </c>
      <c r="B383" s="4" t="s">
        <v>1388</v>
      </c>
      <c r="C383" s="4">
        <v>29</v>
      </c>
    </row>
    <row r="384" spans="1:3">
      <c r="A384" s="4" t="s">
        <v>1385</v>
      </c>
      <c r="B384" s="4" t="s">
        <v>1386</v>
      </c>
      <c r="C384" s="4">
        <v>7</v>
      </c>
    </row>
    <row r="385" spans="1:3">
      <c r="A385" s="4" t="s">
        <v>1389</v>
      </c>
      <c r="B385" s="4" t="s">
        <v>1390</v>
      </c>
      <c r="C385" s="4">
        <v>103</v>
      </c>
    </row>
    <row r="386" spans="1:3">
      <c r="A386" s="4" t="s">
        <v>1395</v>
      </c>
      <c r="B386" s="4" t="s">
        <v>1396</v>
      </c>
      <c r="C386" s="4">
        <v>2</v>
      </c>
    </row>
    <row r="387" spans="1:3">
      <c r="A387" s="4" t="s">
        <v>1401</v>
      </c>
      <c r="B387" s="4" t="s">
        <v>1402</v>
      </c>
      <c r="C387" s="4">
        <v>28</v>
      </c>
    </row>
    <row r="388" spans="1:3">
      <c r="A388" s="4" t="s">
        <v>1409</v>
      </c>
      <c r="B388" s="4" t="s">
        <v>1410</v>
      </c>
      <c r="C388" s="4">
        <v>14</v>
      </c>
    </row>
    <row r="389" spans="1:3">
      <c r="A389" s="4" t="s">
        <v>1415</v>
      </c>
      <c r="B389" s="4" t="s">
        <v>1416</v>
      </c>
      <c r="C389" s="4">
        <v>50</v>
      </c>
    </row>
    <row r="390" spans="1:3">
      <c r="A390" s="4" t="s">
        <v>1423</v>
      </c>
      <c r="B390" s="4" t="s">
        <v>1424</v>
      </c>
      <c r="C390" s="4">
        <v>201</v>
      </c>
    </row>
    <row r="391" spans="1:3">
      <c r="A391" s="4" t="s">
        <v>1427</v>
      </c>
      <c r="B391" s="4" t="s">
        <v>1428</v>
      </c>
      <c r="C391" s="4">
        <v>32</v>
      </c>
    </row>
    <row r="392" spans="1:3">
      <c r="A392" s="4" t="s">
        <v>1435</v>
      </c>
      <c r="B392" s="4" t="s">
        <v>1436</v>
      </c>
      <c r="C392" s="4">
        <v>28</v>
      </c>
    </row>
    <row r="393" spans="1:3">
      <c r="A393" s="4" t="s">
        <v>1441</v>
      </c>
      <c r="B393" s="4" t="s">
        <v>1442</v>
      </c>
      <c r="C393" s="4">
        <v>78</v>
      </c>
    </row>
    <row r="394" spans="1:3">
      <c r="A394" s="4" t="s">
        <v>1459</v>
      </c>
      <c r="B394" s="4" t="s">
        <v>1460</v>
      </c>
      <c r="C394" s="4">
        <v>3</v>
      </c>
    </row>
    <row r="395" spans="1:3">
      <c r="A395" s="4" t="s">
        <v>1465</v>
      </c>
      <c r="B395" s="4" t="s">
        <v>1466</v>
      </c>
      <c r="C395" s="4">
        <v>176</v>
      </c>
    </row>
    <row r="396" spans="1:3">
      <c r="A396" s="4" t="s">
        <v>1463</v>
      </c>
      <c r="B396" s="4" t="s">
        <v>1464</v>
      </c>
      <c r="C396" s="4">
        <v>202</v>
      </c>
    </row>
    <row r="397" spans="1:3">
      <c r="A397" s="4" t="s">
        <v>1473</v>
      </c>
      <c r="B397" s="4" t="s">
        <v>1474</v>
      </c>
      <c r="C397" s="4">
        <v>9</v>
      </c>
    </row>
    <row r="398" spans="1:3">
      <c r="A398" s="4" t="s">
        <v>1475</v>
      </c>
      <c r="B398" s="4" t="s">
        <v>1476</v>
      </c>
      <c r="C398" s="4">
        <v>26</v>
      </c>
    </row>
    <row r="399" spans="1:3">
      <c r="A399" s="4" t="s">
        <v>1479</v>
      </c>
      <c r="B399" s="4" t="s">
        <v>1480</v>
      </c>
      <c r="C399" s="4">
        <v>367</v>
      </c>
    </row>
    <row r="400" spans="1:3">
      <c r="A400" s="4" t="s">
        <v>1483</v>
      </c>
      <c r="B400" s="4" t="s">
        <v>1484</v>
      </c>
      <c r="C400" s="4">
        <v>5</v>
      </c>
    </row>
    <row r="401" spans="1:3">
      <c r="A401" s="4" t="s">
        <v>1495</v>
      </c>
      <c r="B401" s="4" t="s">
        <v>1496</v>
      </c>
      <c r="C401" s="4">
        <v>61</v>
      </c>
    </row>
    <row r="402" spans="1:3">
      <c r="A402" s="4" t="s">
        <v>1497</v>
      </c>
      <c r="B402" s="4" t="s">
        <v>1498</v>
      </c>
      <c r="C402" s="4">
        <v>4</v>
      </c>
    </row>
    <row r="403" spans="1:3">
      <c r="A403" s="4" t="s">
        <v>1503</v>
      </c>
      <c r="B403" s="4" t="s">
        <v>1504</v>
      </c>
      <c r="C403" s="4">
        <v>1</v>
      </c>
    </row>
    <row r="404" spans="1:3">
      <c r="A404" s="4" t="s">
        <v>1507</v>
      </c>
      <c r="B404" s="4" t="s">
        <v>1508</v>
      </c>
      <c r="C404" s="4">
        <v>28</v>
      </c>
    </row>
    <row r="405" spans="1:3">
      <c r="A405" s="4" t="s">
        <v>1511</v>
      </c>
      <c r="B405" s="4" t="s">
        <v>1512</v>
      </c>
      <c r="C405" s="4">
        <v>138</v>
      </c>
    </row>
    <row r="406" spans="1:3">
      <c r="A406" s="4" t="s">
        <v>1559</v>
      </c>
      <c r="B406" s="4" t="s">
        <v>1560</v>
      </c>
      <c r="C406" s="4">
        <v>3</v>
      </c>
    </row>
    <row r="407" spans="1:3">
      <c r="A407" s="4" t="s">
        <v>1517</v>
      </c>
      <c r="B407" s="4" t="s">
        <v>1518</v>
      </c>
      <c r="C407" s="4">
        <v>3</v>
      </c>
    </row>
    <row r="408" spans="1:3">
      <c r="A408" s="4" t="s">
        <v>1521</v>
      </c>
      <c r="B408" s="4" t="s">
        <v>1522</v>
      </c>
      <c r="C408" s="4">
        <v>10</v>
      </c>
    </row>
    <row r="409" spans="1:3">
      <c r="A409" s="4" t="s">
        <v>1529</v>
      </c>
      <c r="B409" s="4" t="s">
        <v>1530</v>
      </c>
      <c r="C409" s="4">
        <v>30</v>
      </c>
    </row>
    <row r="410" spans="1:3">
      <c r="A410" s="4" t="s">
        <v>1553</v>
      </c>
      <c r="B410" s="4" t="s">
        <v>1554</v>
      </c>
      <c r="C410" s="4">
        <v>14</v>
      </c>
    </row>
    <row r="411" spans="1:3">
      <c r="A411" s="4" t="s">
        <v>1557</v>
      </c>
      <c r="B411" s="4" t="s">
        <v>1558</v>
      </c>
      <c r="C411" s="4">
        <v>92</v>
      </c>
    </row>
    <row r="412" spans="1:3">
      <c r="A412" s="4" t="s">
        <v>1561</v>
      </c>
      <c r="B412" s="4" t="s">
        <v>1562</v>
      </c>
      <c r="C412" s="4">
        <v>10</v>
      </c>
    </row>
    <row r="413" spans="1:3">
      <c r="A413" s="4" t="s">
        <v>1571</v>
      </c>
      <c r="B413" s="4" t="s">
        <v>1572</v>
      </c>
      <c r="C413" s="4">
        <v>16</v>
      </c>
    </row>
    <row r="414" spans="1:3">
      <c r="A414" s="4" t="s">
        <v>1575</v>
      </c>
      <c r="B414" s="4" t="s">
        <v>1576</v>
      </c>
      <c r="C414" s="4">
        <v>22</v>
      </c>
    </row>
    <row r="415" spans="1:3">
      <c r="A415" s="4" t="s">
        <v>1601</v>
      </c>
      <c r="B415" s="4" t="s">
        <v>1602</v>
      </c>
      <c r="C415" s="4">
        <v>153</v>
      </c>
    </row>
    <row r="416" spans="1:3">
      <c r="A416" s="4" t="s">
        <v>1629</v>
      </c>
      <c r="B416" s="4" t="s">
        <v>1630</v>
      </c>
      <c r="C416" s="4">
        <v>163</v>
      </c>
    </row>
    <row r="417" spans="1:3">
      <c r="A417" s="4" t="s">
        <v>1631</v>
      </c>
      <c r="B417" s="4" t="s">
        <v>1632</v>
      </c>
      <c r="C417" s="4">
        <v>29</v>
      </c>
    </row>
    <row r="418" spans="1:3">
      <c r="A418" s="4" t="s">
        <v>1633</v>
      </c>
      <c r="B418" s="4" t="s">
        <v>1634</v>
      </c>
      <c r="C418" s="4">
        <v>12</v>
      </c>
    </row>
    <row r="419" spans="1:3">
      <c r="A419" s="4" t="s">
        <v>1635</v>
      </c>
      <c r="B419" s="4" t="s">
        <v>1636</v>
      </c>
      <c r="C419" s="4">
        <v>20</v>
      </c>
    </row>
    <row r="420" spans="1:3">
      <c r="A420" s="4" t="s">
        <v>1643</v>
      </c>
      <c r="B420" s="4" t="s">
        <v>1644</v>
      </c>
      <c r="C420" s="4">
        <v>1</v>
      </c>
    </row>
    <row r="421" spans="1:3">
      <c r="A421" s="4" t="s">
        <v>1663</v>
      </c>
      <c r="B421" s="4" t="s">
        <v>1664</v>
      </c>
      <c r="C421" s="4">
        <v>3</v>
      </c>
    </row>
    <row r="422" spans="1:3">
      <c r="A422" s="4" t="s">
        <v>1667</v>
      </c>
      <c r="B422" s="4" t="s">
        <v>1668</v>
      </c>
      <c r="C422" s="4">
        <v>88</v>
      </c>
    </row>
    <row r="423" spans="1:3">
      <c r="A423" s="6" t="s">
        <v>1669</v>
      </c>
      <c r="B423" s="6" t="s">
        <v>1670</v>
      </c>
      <c r="C423" s="6">
        <v>-5</v>
      </c>
    </row>
    <row r="424" spans="1:3">
      <c r="A424" s="4" t="s">
        <v>1685</v>
      </c>
      <c r="B424" s="4" t="s">
        <v>1686</v>
      </c>
      <c r="C424" s="4">
        <v>253</v>
      </c>
    </row>
    <row r="425" spans="1:3">
      <c r="A425" s="4" t="s">
        <v>1691</v>
      </c>
      <c r="B425" s="4" t="s">
        <v>1692</v>
      </c>
      <c r="C425" s="4">
        <v>5</v>
      </c>
    </row>
    <row r="426" spans="1:3">
      <c r="A426" s="4" t="s">
        <v>1703</v>
      </c>
      <c r="B426" s="4" t="s">
        <v>1704</v>
      </c>
      <c r="C426" s="4">
        <v>1</v>
      </c>
    </row>
    <row r="427" spans="1:3">
      <c r="A427" s="4" t="s">
        <v>1701</v>
      </c>
      <c r="B427" s="4" t="s">
        <v>1702</v>
      </c>
      <c r="C427" s="4">
        <v>23</v>
      </c>
    </row>
    <row r="428" spans="1:3">
      <c r="A428" s="4" t="s">
        <v>1729</v>
      </c>
      <c r="B428" s="4" t="s">
        <v>1730</v>
      </c>
      <c r="C428" s="4">
        <v>40</v>
      </c>
    </row>
    <row r="429" spans="1:3">
      <c r="A429" s="4" t="s">
        <v>1731</v>
      </c>
      <c r="B429" s="4" t="s">
        <v>1732</v>
      </c>
      <c r="C429" s="4">
        <v>1</v>
      </c>
    </row>
    <row r="430" spans="1:3">
      <c r="A430" s="4" t="s">
        <v>1735</v>
      </c>
      <c r="B430" s="4" t="s">
        <v>1736</v>
      </c>
      <c r="C430" s="4">
        <v>1</v>
      </c>
    </row>
    <row r="431" spans="1:3">
      <c r="A431" s="4" t="s">
        <v>1745</v>
      </c>
      <c r="B431" s="4" t="s">
        <v>1746</v>
      </c>
      <c r="C431" s="4">
        <v>14</v>
      </c>
    </row>
    <row r="432" spans="1:3">
      <c r="A432" s="4" t="s">
        <v>1747</v>
      </c>
      <c r="B432" s="4" t="s">
        <v>1748</v>
      </c>
      <c r="C432" s="4">
        <v>240</v>
      </c>
    </row>
    <row r="433" spans="1:3">
      <c r="A433" s="4" t="s">
        <v>1751</v>
      </c>
      <c r="B433" s="4" t="s">
        <v>1752</v>
      </c>
      <c r="C433" s="4">
        <v>69</v>
      </c>
    </row>
    <row r="434" spans="1:3">
      <c r="A434" s="4" t="s">
        <v>1755</v>
      </c>
      <c r="B434" s="4" t="s">
        <v>1756</v>
      </c>
      <c r="C434" s="4">
        <v>2</v>
      </c>
    </row>
    <row r="435" spans="1:3">
      <c r="A435" s="4" t="s">
        <v>1773</v>
      </c>
      <c r="B435" s="4" t="s">
        <v>1774</v>
      </c>
      <c r="C435" s="4">
        <v>8</v>
      </c>
    </row>
    <row r="436" spans="1:3">
      <c r="A436" s="4" t="s">
        <v>1823</v>
      </c>
      <c r="B436" s="4" t="s">
        <v>1824</v>
      </c>
      <c r="C436" s="4">
        <v>12</v>
      </c>
    </row>
    <row r="437" spans="1:3">
      <c r="A437" s="4" t="s">
        <v>1815</v>
      </c>
      <c r="B437" s="4" t="s">
        <v>1816</v>
      </c>
      <c r="C437" s="4">
        <v>12</v>
      </c>
    </row>
    <row r="438" spans="1:3">
      <c r="A438" s="4" t="s">
        <v>1837</v>
      </c>
      <c r="B438" s="4" t="s">
        <v>1838</v>
      </c>
      <c r="C438" s="4">
        <v>1</v>
      </c>
    </row>
    <row r="439" spans="1:3">
      <c r="A439" s="4" t="s">
        <v>1841</v>
      </c>
      <c r="B439" s="4" t="s">
        <v>1842</v>
      </c>
      <c r="C439" s="4">
        <v>22</v>
      </c>
    </row>
    <row r="440" spans="1:3">
      <c r="A440" s="4" t="s">
        <v>1825</v>
      </c>
      <c r="B440" s="4" t="s">
        <v>1826</v>
      </c>
      <c r="C440" s="4">
        <v>48</v>
      </c>
    </row>
    <row r="441" spans="1:3">
      <c r="A441" s="4" t="s">
        <v>1849</v>
      </c>
      <c r="B441" s="4" t="s">
        <v>1850</v>
      </c>
      <c r="C441" s="4">
        <v>205</v>
      </c>
    </row>
    <row r="442" spans="1:3">
      <c r="A442" s="4" t="s">
        <v>1831</v>
      </c>
      <c r="B442" s="4" t="s">
        <v>1832</v>
      </c>
      <c r="C442" s="4">
        <v>61</v>
      </c>
    </row>
    <row r="443" spans="1:3">
      <c r="A443" s="4" t="s">
        <v>1845</v>
      </c>
      <c r="B443" s="4" t="s">
        <v>1846</v>
      </c>
      <c r="C443" s="4">
        <v>32</v>
      </c>
    </row>
    <row r="444" spans="1:3">
      <c r="A444" s="4" t="s">
        <v>1855</v>
      </c>
      <c r="B444" s="4" t="s">
        <v>1856</v>
      </c>
      <c r="C444" s="4">
        <v>3</v>
      </c>
    </row>
    <row r="445" spans="1:3">
      <c r="A445" s="4" t="s">
        <v>1857</v>
      </c>
      <c r="B445" s="4" t="s">
        <v>1858</v>
      </c>
      <c r="C445" s="4">
        <v>7</v>
      </c>
    </row>
    <row r="446" spans="1:3">
      <c r="A446" s="4" t="s">
        <v>1861</v>
      </c>
      <c r="B446" s="4" t="s">
        <v>1862</v>
      </c>
      <c r="C446" s="4">
        <v>5</v>
      </c>
    </row>
    <row r="447" spans="1:3">
      <c r="A447" s="4" t="s">
        <v>1901</v>
      </c>
      <c r="B447" s="4" t="s">
        <v>1902</v>
      </c>
      <c r="C447" s="4">
        <v>2</v>
      </c>
    </row>
    <row r="448" spans="1:3">
      <c r="A448" s="4" t="s">
        <v>1943</v>
      </c>
      <c r="B448" s="4" t="s">
        <v>1944</v>
      </c>
      <c r="C448" s="4">
        <v>2</v>
      </c>
    </row>
    <row r="449" spans="1:3">
      <c r="A449" s="4" t="s">
        <v>1953</v>
      </c>
      <c r="B449" s="4" t="s">
        <v>1954</v>
      </c>
      <c r="C449" s="4">
        <v>25</v>
      </c>
    </row>
    <row r="450" spans="1:3">
      <c r="A450" s="4" t="s">
        <v>1951</v>
      </c>
      <c r="B450" s="4" t="s">
        <v>1952</v>
      </c>
      <c r="C450" s="4">
        <v>28</v>
      </c>
    </row>
    <row r="451" spans="1:3">
      <c r="A451" s="4" t="s">
        <v>1863</v>
      </c>
      <c r="B451" s="4" t="s">
        <v>1864</v>
      </c>
      <c r="C451" s="4">
        <v>1</v>
      </c>
    </row>
    <row r="452" spans="1:3">
      <c r="A452" s="4" t="s">
        <v>1871</v>
      </c>
      <c r="B452" s="4" t="s">
        <v>1872</v>
      </c>
      <c r="C452" s="4">
        <v>180</v>
      </c>
    </row>
    <row r="453" spans="1:3">
      <c r="A453" s="4" t="s">
        <v>1885</v>
      </c>
      <c r="B453" s="4" t="s">
        <v>1886</v>
      </c>
      <c r="C453" s="4">
        <v>52</v>
      </c>
    </row>
    <row r="454" spans="1:3">
      <c r="A454" s="4" t="s">
        <v>1903</v>
      </c>
      <c r="B454" s="4" t="s">
        <v>1904</v>
      </c>
      <c r="C454" s="4">
        <v>1</v>
      </c>
    </row>
    <row r="455" spans="1:3">
      <c r="A455" s="4" t="s">
        <v>1907</v>
      </c>
      <c r="B455" s="4" t="s">
        <v>1908</v>
      </c>
      <c r="C455" s="4">
        <v>5</v>
      </c>
    </row>
    <row r="456" spans="1:3">
      <c r="A456" s="4" t="s">
        <v>1915</v>
      </c>
      <c r="B456" s="4" t="s">
        <v>1916</v>
      </c>
      <c r="C456" s="4">
        <v>21</v>
      </c>
    </row>
    <row r="457" spans="1:3">
      <c r="A457" s="4" t="s">
        <v>1919</v>
      </c>
      <c r="B457" s="4" t="s">
        <v>1920</v>
      </c>
      <c r="C457" s="4">
        <v>10</v>
      </c>
    </row>
    <row r="458" spans="1:3">
      <c r="A458" s="4" t="s">
        <v>1925</v>
      </c>
      <c r="B458" s="4" t="s">
        <v>1926</v>
      </c>
      <c r="C458" s="4">
        <v>58</v>
      </c>
    </row>
    <row r="459" spans="1:3">
      <c r="A459" s="4" t="s">
        <v>1935</v>
      </c>
      <c r="B459" s="4" t="s">
        <v>1936</v>
      </c>
      <c r="C459" s="4">
        <v>1</v>
      </c>
    </row>
    <row r="460" spans="1:3">
      <c r="A460" s="4" t="s">
        <v>1945</v>
      </c>
      <c r="B460" s="4" t="s">
        <v>1946</v>
      </c>
      <c r="C460" s="4">
        <v>39</v>
      </c>
    </row>
    <row r="461" spans="1:3">
      <c r="A461" s="4" t="s">
        <v>2031</v>
      </c>
      <c r="B461" s="4" t="s">
        <v>2032</v>
      </c>
      <c r="C461" s="4">
        <v>8</v>
      </c>
    </row>
    <row r="462" spans="1:3">
      <c r="A462" s="4" t="s">
        <v>2049</v>
      </c>
      <c r="B462" s="4" t="s">
        <v>2050</v>
      </c>
      <c r="C462" s="4">
        <v>58</v>
      </c>
    </row>
    <row r="463" spans="1:3">
      <c r="A463" s="4" t="s">
        <v>2055</v>
      </c>
      <c r="B463" s="4" t="s">
        <v>2056</v>
      </c>
      <c r="C463" s="4">
        <v>152</v>
      </c>
    </row>
    <row r="464" spans="1:3">
      <c r="A464" s="4" t="s">
        <v>1997</v>
      </c>
      <c r="B464" s="4" t="s">
        <v>1998</v>
      </c>
      <c r="C464" s="4">
        <v>23</v>
      </c>
    </row>
    <row r="465" spans="1:3">
      <c r="A465" s="4" t="s">
        <v>2001</v>
      </c>
      <c r="B465" s="4" t="s">
        <v>2002</v>
      </c>
      <c r="C465" s="4">
        <v>105</v>
      </c>
    </row>
    <row r="466" spans="1:3">
      <c r="A466" s="4" t="s">
        <v>2013</v>
      </c>
      <c r="B466" s="4" t="s">
        <v>2014</v>
      </c>
      <c r="C466" s="4">
        <v>3</v>
      </c>
    </row>
    <row r="467" spans="1:3">
      <c r="A467" s="4" t="s">
        <v>2015</v>
      </c>
      <c r="B467" s="4" t="s">
        <v>2016</v>
      </c>
      <c r="C467" s="4">
        <v>5</v>
      </c>
    </row>
    <row r="468" spans="1:3">
      <c r="A468" s="4" t="s">
        <v>2029</v>
      </c>
      <c r="B468" s="4" t="s">
        <v>2030</v>
      </c>
      <c r="C468" s="4">
        <v>54</v>
      </c>
    </row>
    <row r="469" spans="1:3">
      <c r="A469" s="4" t="s">
        <v>2035</v>
      </c>
      <c r="B469" s="4" t="s">
        <v>2036</v>
      </c>
      <c r="C469" s="4">
        <v>8</v>
      </c>
    </row>
    <row r="470" spans="1:3">
      <c r="A470" s="4" t="s">
        <v>2043</v>
      </c>
      <c r="B470" s="4" t="s">
        <v>2044</v>
      </c>
      <c r="C470" s="4">
        <v>4</v>
      </c>
    </row>
    <row r="471" spans="1:3">
      <c r="A471" s="4" t="s">
        <v>2063</v>
      </c>
      <c r="B471" s="4" t="s">
        <v>2064</v>
      </c>
      <c r="C471" s="4">
        <v>93</v>
      </c>
    </row>
    <row r="472" spans="1:3">
      <c r="A472" s="4" t="s">
        <v>2079</v>
      </c>
      <c r="B472" s="4" t="s">
        <v>2080</v>
      </c>
      <c r="C472" s="4">
        <v>3</v>
      </c>
    </row>
    <row r="473" spans="1:3">
      <c r="A473" s="4" t="s">
        <v>2099</v>
      </c>
      <c r="B473" s="4" t="s">
        <v>2100</v>
      </c>
      <c r="C473" s="4">
        <v>13</v>
      </c>
    </row>
    <row r="474" spans="1:3">
      <c r="A474" s="4" t="s">
        <v>2101</v>
      </c>
      <c r="B474" s="4" t="s">
        <v>2102</v>
      </c>
      <c r="C474" s="4">
        <v>1</v>
      </c>
    </row>
    <row r="475" spans="1:3">
      <c r="A475" s="4" t="s">
        <v>2105</v>
      </c>
      <c r="B475" s="4" t="s">
        <v>2106</v>
      </c>
      <c r="C475" s="4">
        <v>172</v>
      </c>
    </row>
    <row r="476" spans="1:3">
      <c r="A476" s="4" t="s">
        <v>2107</v>
      </c>
      <c r="B476" s="4" t="s">
        <v>2108</v>
      </c>
      <c r="C476" s="4">
        <v>4</v>
      </c>
    </row>
    <row r="477" spans="1:3">
      <c r="A477" s="4" t="s">
        <v>2109</v>
      </c>
      <c r="B477" s="4" t="s">
        <v>2110</v>
      </c>
      <c r="C477" s="4">
        <v>46</v>
      </c>
    </row>
    <row r="478" spans="1:3">
      <c r="A478" s="4" t="s">
        <v>2123</v>
      </c>
      <c r="B478" s="4" t="s">
        <v>2124</v>
      </c>
      <c r="C478" s="4">
        <v>112</v>
      </c>
    </row>
    <row r="479" spans="1:3">
      <c r="A479" s="4" t="s">
        <v>2129</v>
      </c>
      <c r="B479" s="4" t="s">
        <v>2130</v>
      </c>
      <c r="C479" s="4">
        <v>125</v>
      </c>
    </row>
    <row r="480" spans="1:3">
      <c r="A480" s="4" t="s">
        <v>2149</v>
      </c>
      <c r="B480" s="4" t="s">
        <v>2150</v>
      </c>
      <c r="C480" s="4">
        <v>7</v>
      </c>
    </row>
    <row r="481" spans="1:3">
      <c r="A481" s="4" t="s">
        <v>2167</v>
      </c>
      <c r="B481" s="4" t="s">
        <v>2168</v>
      </c>
      <c r="C481" s="4">
        <v>45</v>
      </c>
    </row>
    <row r="482" spans="1:3">
      <c r="A482" s="4" t="s">
        <v>2175</v>
      </c>
      <c r="B482" s="4" t="s">
        <v>2176</v>
      </c>
      <c r="C482" s="4">
        <v>12</v>
      </c>
    </row>
    <row r="483" spans="1:3">
      <c r="A483" s="4" t="s">
        <v>2179</v>
      </c>
      <c r="B483" s="4" t="s">
        <v>2180</v>
      </c>
      <c r="C483" s="4">
        <v>167</v>
      </c>
    </row>
    <row r="484" spans="1:3">
      <c r="A484" s="4" t="s">
        <v>2189</v>
      </c>
      <c r="B484" s="4" t="s">
        <v>2190</v>
      </c>
      <c r="C484" s="4">
        <v>1</v>
      </c>
    </row>
    <row r="485" spans="1:3">
      <c r="A485" s="4" t="s">
        <v>2203</v>
      </c>
      <c r="B485" s="4" t="s">
        <v>2204</v>
      </c>
      <c r="C485" s="4">
        <v>8</v>
      </c>
    </row>
    <row r="486" spans="1:3">
      <c r="A486" s="4" t="s">
        <v>2211</v>
      </c>
      <c r="B486" s="4" t="s">
        <v>2212</v>
      </c>
      <c r="C486" s="4">
        <v>2</v>
      </c>
    </row>
    <row r="487" spans="1:3">
      <c r="A487" s="4" t="s">
        <v>2215</v>
      </c>
      <c r="B487" s="4" t="s">
        <v>2216</v>
      </c>
      <c r="C487" s="4">
        <v>6</v>
      </c>
    </row>
    <row r="488" spans="1:3">
      <c r="A488" s="4" t="s">
        <v>2219</v>
      </c>
      <c r="B488" s="4" t="s">
        <v>2220</v>
      </c>
      <c r="C488" s="4">
        <v>18</v>
      </c>
    </row>
    <row r="489" spans="1:3">
      <c r="A489" s="4" t="s">
        <v>2261</v>
      </c>
      <c r="B489" s="4" t="s">
        <v>2262</v>
      </c>
      <c r="C489" s="4">
        <v>2</v>
      </c>
    </row>
    <row r="490" spans="1:3">
      <c r="A490" s="4" t="s">
        <v>2347</v>
      </c>
      <c r="B490" s="4" t="s">
        <v>2348</v>
      </c>
      <c r="C490" s="4">
        <v>20</v>
      </c>
    </row>
    <row r="491" spans="1:3">
      <c r="A491" s="4" t="s">
        <v>2361</v>
      </c>
      <c r="B491" s="4" t="s">
        <v>2362</v>
      </c>
      <c r="C491" s="4">
        <v>1</v>
      </c>
    </row>
    <row r="492" spans="1:3">
      <c r="A492" s="4" t="s">
        <v>2375</v>
      </c>
      <c r="B492" s="4" t="s">
        <v>2376</v>
      </c>
      <c r="C492" s="4">
        <v>1</v>
      </c>
    </row>
    <row r="493" spans="1:3">
      <c r="A493" s="4" t="s">
        <v>2227</v>
      </c>
      <c r="B493" s="4" t="s">
        <v>2228</v>
      </c>
      <c r="C493" s="4">
        <v>1</v>
      </c>
    </row>
    <row r="494" spans="1:3">
      <c r="A494" s="4" t="s">
        <v>2241</v>
      </c>
      <c r="B494" s="4" t="s">
        <v>2242</v>
      </c>
      <c r="C494" s="4">
        <v>179</v>
      </c>
    </row>
    <row r="495" spans="1:3">
      <c r="A495" s="4" t="s">
        <v>2253</v>
      </c>
      <c r="B495" s="4" t="s">
        <v>2254</v>
      </c>
      <c r="C495" s="4">
        <v>9</v>
      </c>
    </row>
    <row r="496" spans="1:3">
      <c r="A496" s="4" t="s">
        <v>2255</v>
      </c>
      <c r="B496" s="4" t="s">
        <v>2256</v>
      </c>
      <c r="C496" s="4">
        <v>37</v>
      </c>
    </row>
    <row r="497" spans="1:3">
      <c r="A497" s="4" t="s">
        <v>2305</v>
      </c>
      <c r="B497" s="4" t="s">
        <v>2306</v>
      </c>
      <c r="C497" s="4">
        <v>23</v>
      </c>
    </row>
    <row r="498" spans="1:3">
      <c r="A498" s="4" t="s">
        <v>2307</v>
      </c>
      <c r="B498" s="4" t="s">
        <v>2308</v>
      </c>
      <c r="C498" s="4">
        <v>901</v>
      </c>
    </row>
    <row r="499" spans="1:3">
      <c r="A499" s="4" t="s">
        <v>2317</v>
      </c>
      <c r="B499" s="4" t="s">
        <v>2318</v>
      </c>
      <c r="C499" s="4">
        <v>6</v>
      </c>
    </row>
    <row r="500" spans="1:3">
      <c r="A500" s="4" t="s">
        <v>2319</v>
      </c>
      <c r="B500" s="4" t="s">
        <v>2320</v>
      </c>
      <c r="C500" s="4">
        <v>7</v>
      </c>
    </row>
    <row r="501" spans="1:3">
      <c r="A501" s="4" t="s">
        <v>2325</v>
      </c>
      <c r="B501" s="4" t="s">
        <v>2326</v>
      </c>
      <c r="C501" s="4">
        <v>10</v>
      </c>
    </row>
    <row r="502" spans="1:3">
      <c r="A502" s="4" t="s">
        <v>2335</v>
      </c>
      <c r="B502" s="4" t="s">
        <v>2336</v>
      </c>
      <c r="C502" s="4">
        <v>58</v>
      </c>
    </row>
    <row r="503" spans="1:3">
      <c r="A503" s="4" t="s">
        <v>2339</v>
      </c>
      <c r="B503" s="4" t="s">
        <v>2340</v>
      </c>
      <c r="C503" s="4">
        <v>66</v>
      </c>
    </row>
    <row r="504" spans="1:3">
      <c r="A504" s="4" t="s">
        <v>2357</v>
      </c>
      <c r="B504" s="4" t="s">
        <v>2358</v>
      </c>
      <c r="C504" s="4">
        <v>2</v>
      </c>
    </row>
    <row r="505" spans="1:3">
      <c r="A505" s="4" t="s">
        <v>2405</v>
      </c>
      <c r="B505" s="4" t="s">
        <v>2406</v>
      </c>
      <c r="C505" s="4">
        <v>28</v>
      </c>
    </row>
    <row r="506" spans="1:3">
      <c r="A506" s="4" t="s">
        <v>2431</v>
      </c>
      <c r="B506" s="4" t="s">
        <v>2432</v>
      </c>
      <c r="C506" s="4">
        <v>12</v>
      </c>
    </row>
    <row r="507" spans="1:3">
      <c r="A507" s="4" t="s">
        <v>2413</v>
      </c>
      <c r="B507" s="4" t="s">
        <v>2414</v>
      </c>
      <c r="C507" s="4">
        <v>73</v>
      </c>
    </row>
    <row r="508" spans="1:3">
      <c r="A508" s="4" t="s">
        <v>2417</v>
      </c>
      <c r="B508" s="4" t="s">
        <v>2418</v>
      </c>
      <c r="C508" s="4">
        <v>2</v>
      </c>
    </row>
    <row r="509" spans="1:3">
      <c r="A509" s="4" t="s">
        <v>2423</v>
      </c>
      <c r="B509" s="4" t="s">
        <v>2424</v>
      </c>
      <c r="C509" s="4">
        <v>9</v>
      </c>
    </row>
    <row r="510" spans="1:3">
      <c r="A510" s="4" t="s">
        <v>2427</v>
      </c>
      <c r="B510" s="4" t="s">
        <v>2428</v>
      </c>
      <c r="C510" s="4">
        <v>394</v>
      </c>
    </row>
    <row r="511" spans="1:3">
      <c r="A511" s="4" t="s">
        <v>2429</v>
      </c>
      <c r="B511" s="4" t="s">
        <v>2430</v>
      </c>
      <c r="C511" s="4">
        <v>45</v>
      </c>
    </row>
    <row r="512" spans="1:3">
      <c r="A512" s="4" t="s">
        <v>2441</v>
      </c>
      <c r="B512" s="4" t="s">
        <v>2442</v>
      </c>
      <c r="C512" s="4">
        <v>4</v>
      </c>
    </row>
    <row r="513" spans="1:3">
      <c r="A513" s="4" t="s">
        <v>2439</v>
      </c>
      <c r="B513" s="4" t="s">
        <v>2440</v>
      </c>
      <c r="C513" s="4">
        <v>33</v>
      </c>
    </row>
    <row r="514" spans="1:3">
      <c r="A514" s="4" t="s">
        <v>2447</v>
      </c>
      <c r="B514" s="4" t="s">
        <v>2448</v>
      </c>
      <c r="C514" s="4">
        <v>40</v>
      </c>
    </row>
    <row r="515" spans="1:3">
      <c r="A515" s="4" t="s">
        <v>2467</v>
      </c>
      <c r="B515" s="4" t="s">
        <v>2468</v>
      </c>
      <c r="C515" s="4">
        <v>48</v>
      </c>
    </row>
    <row r="516" spans="1:3">
      <c r="A516" s="4" t="s">
        <v>2475</v>
      </c>
      <c r="B516" s="4" t="s">
        <v>2476</v>
      </c>
      <c r="C516" s="4">
        <v>2</v>
      </c>
    </row>
    <row r="517" spans="1:3">
      <c r="A517" s="4" t="s">
        <v>2477</v>
      </c>
      <c r="B517" s="4" t="s">
        <v>2478</v>
      </c>
      <c r="C517" s="4">
        <v>56</v>
      </c>
    </row>
    <row r="518" spans="1:3">
      <c r="A518" s="4" t="s">
        <v>2485</v>
      </c>
      <c r="B518" s="4" t="s">
        <v>2486</v>
      </c>
      <c r="C518" s="4">
        <v>4</v>
      </c>
    </row>
    <row r="519" spans="1:3">
      <c r="A519" s="4" t="s">
        <v>2511</v>
      </c>
      <c r="B519" s="4" t="s">
        <v>2512</v>
      </c>
      <c r="C519" s="4">
        <v>29</v>
      </c>
    </row>
    <row r="520" spans="1:3">
      <c r="A520" s="4" t="s">
        <v>2463</v>
      </c>
      <c r="B520" s="4" t="s">
        <v>2464</v>
      </c>
      <c r="C520" s="4">
        <v>3</v>
      </c>
    </row>
    <row r="521" spans="1:3">
      <c r="A521" s="4" t="s">
        <v>2529</v>
      </c>
      <c r="B521" s="4" t="s">
        <v>2530</v>
      </c>
      <c r="C521" s="4">
        <v>166</v>
      </c>
    </row>
    <row r="522" spans="1:3">
      <c r="A522" s="4" t="s">
        <v>2531</v>
      </c>
      <c r="B522" s="4" t="s">
        <v>2532</v>
      </c>
      <c r="C522" s="4">
        <v>5</v>
      </c>
    </row>
    <row r="523" spans="1:3">
      <c r="A523" s="4" t="s">
        <v>2551</v>
      </c>
      <c r="B523" s="4" t="s">
        <v>2552</v>
      </c>
      <c r="C523" s="4">
        <v>29</v>
      </c>
    </row>
    <row r="524" spans="1:3">
      <c r="A524" s="4" t="s">
        <v>2553</v>
      </c>
      <c r="B524" s="4" t="s">
        <v>2554</v>
      </c>
      <c r="C524" s="4">
        <v>8</v>
      </c>
    </row>
    <row r="525" spans="1:3">
      <c r="A525" s="4" t="s">
        <v>2557</v>
      </c>
      <c r="B525" s="4" t="s">
        <v>2558</v>
      </c>
      <c r="C525" s="4">
        <v>9</v>
      </c>
    </row>
    <row r="526" spans="1:3">
      <c r="A526" s="4" t="s">
        <v>2571</v>
      </c>
      <c r="B526" s="4" t="s">
        <v>2572</v>
      </c>
      <c r="C526" s="4">
        <v>40</v>
      </c>
    </row>
    <row r="527" spans="1:3">
      <c r="A527" s="4" t="s">
        <v>2573</v>
      </c>
      <c r="B527" s="4" t="s">
        <v>2574</v>
      </c>
      <c r="C527" s="4">
        <v>7</v>
      </c>
    </row>
    <row r="528" spans="1:3">
      <c r="A528" s="4" t="s">
        <v>2577</v>
      </c>
      <c r="B528" s="4" t="s">
        <v>2578</v>
      </c>
      <c r="C528" s="4">
        <v>3</v>
      </c>
    </row>
    <row r="529" spans="1:3">
      <c r="A529" s="4" t="s">
        <v>2575</v>
      </c>
      <c r="B529" s="4" t="s">
        <v>2576</v>
      </c>
      <c r="C529" s="4">
        <v>6</v>
      </c>
    </row>
    <row r="530" spans="1:3">
      <c r="A530" s="4" t="s">
        <v>2567</v>
      </c>
      <c r="B530" s="4" t="s">
        <v>2568</v>
      </c>
      <c r="C530" s="4">
        <v>64</v>
      </c>
    </row>
    <row r="531" spans="1:3">
      <c r="A531" s="4" t="s">
        <v>2569</v>
      </c>
      <c r="B531" s="4" t="s">
        <v>2570</v>
      </c>
      <c r="C531" s="4">
        <v>39</v>
      </c>
    </row>
    <row r="532" spans="1:3">
      <c r="A532" s="4" t="s">
        <v>2591</v>
      </c>
      <c r="B532" s="4" t="s">
        <v>2592</v>
      </c>
      <c r="C532" s="4">
        <v>10</v>
      </c>
    </row>
    <row r="533" spans="1:3">
      <c r="A533" s="4" t="s">
        <v>2605</v>
      </c>
      <c r="B533" s="4" t="s">
        <v>2606</v>
      </c>
      <c r="C533" s="4">
        <v>58</v>
      </c>
    </row>
    <row r="534" spans="1:3">
      <c r="A534" s="4" t="s">
        <v>2609</v>
      </c>
      <c r="B534" s="4" t="s">
        <v>2610</v>
      </c>
      <c r="C534" s="4">
        <v>21</v>
      </c>
    </row>
    <row r="535" spans="1:3">
      <c r="A535" s="4" t="s">
        <v>2663</v>
      </c>
      <c r="B535" s="4" t="s">
        <v>2664</v>
      </c>
      <c r="C535" s="4">
        <v>6</v>
      </c>
    </row>
    <row r="536" spans="1:3">
      <c r="A536" s="4" t="s">
        <v>2619</v>
      </c>
      <c r="B536" s="4" t="s">
        <v>2620</v>
      </c>
      <c r="C536" s="4">
        <v>28</v>
      </c>
    </row>
    <row r="537" spans="1:3">
      <c r="A537" s="4" t="s">
        <v>2621</v>
      </c>
      <c r="B537" s="4" t="s">
        <v>2622</v>
      </c>
      <c r="C537" s="4">
        <v>8</v>
      </c>
    </row>
    <row r="538" spans="1:3">
      <c r="A538" s="4" t="s">
        <v>2625</v>
      </c>
      <c r="B538" s="4" t="s">
        <v>2626</v>
      </c>
      <c r="C538" s="4">
        <v>51</v>
      </c>
    </row>
    <row r="539" spans="1:3">
      <c r="A539" s="4" t="s">
        <v>2641</v>
      </c>
      <c r="B539" s="4" t="s">
        <v>2642</v>
      </c>
      <c r="C539" s="4">
        <v>2</v>
      </c>
    </row>
    <row r="540" spans="1:3">
      <c r="A540" s="4" t="s">
        <v>2653</v>
      </c>
      <c r="B540" s="4" t="s">
        <v>2654</v>
      </c>
      <c r="C540" s="4">
        <v>6</v>
      </c>
    </row>
    <row r="541" spans="1:3">
      <c r="A541" s="4" t="s">
        <v>2649</v>
      </c>
      <c r="B541" s="4" t="s">
        <v>2650</v>
      </c>
      <c r="C541" s="4">
        <v>17</v>
      </c>
    </row>
    <row r="542" spans="1:3">
      <c r="A542" s="4" t="s">
        <v>2655</v>
      </c>
      <c r="B542" s="4" t="s">
        <v>2656</v>
      </c>
      <c r="C542" s="4">
        <v>7</v>
      </c>
    </row>
    <row r="543" spans="1:3">
      <c r="A543" s="4" t="s">
        <v>2659</v>
      </c>
      <c r="B543" s="4" t="s">
        <v>2660</v>
      </c>
      <c r="C543" s="4">
        <v>6</v>
      </c>
    </row>
    <row r="544" spans="1:3">
      <c r="A544" s="4" t="s">
        <v>31</v>
      </c>
      <c r="B544" s="4" t="s">
        <v>32</v>
      </c>
      <c r="C544" s="4">
        <v>1</v>
      </c>
    </row>
    <row r="545" spans="1:3">
      <c r="A545" s="4" t="s">
        <v>97</v>
      </c>
      <c r="B545" s="4" t="s">
        <v>98</v>
      </c>
      <c r="C545" s="4">
        <v>5</v>
      </c>
    </row>
    <row r="546" spans="1:3">
      <c r="A546" s="4" t="s">
        <v>2696</v>
      </c>
      <c r="B546" s="4" t="s">
        <v>2697</v>
      </c>
      <c r="C546" s="4">
        <v>60</v>
      </c>
    </row>
    <row r="547" spans="1:3">
      <c r="A547" s="4" t="s">
        <v>93</v>
      </c>
      <c r="B547" s="4" t="s">
        <v>94</v>
      </c>
      <c r="C547" s="4">
        <v>2</v>
      </c>
    </row>
    <row r="548" spans="1:3">
      <c r="A548" s="4" t="s">
        <v>89</v>
      </c>
      <c r="B548" s="4" t="s">
        <v>90</v>
      </c>
      <c r="C548" s="4">
        <v>21</v>
      </c>
    </row>
    <row r="549" spans="1:3">
      <c r="A549" s="4" t="s">
        <v>101</v>
      </c>
      <c r="B549" s="4" t="s">
        <v>102</v>
      </c>
      <c r="C549" s="4">
        <v>2</v>
      </c>
    </row>
    <row r="550" spans="1:3">
      <c r="A550" s="4" t="s">
        <v>319</v>
      </c>
      <c r="B550" s="4" t="s">
        <v>320</v>
      </c>
      <c r="C550" s="4">
        <v>63</v>
      </c>
    </row>
    <row r="551" spans="1:3">
      <c r="A551" s="4" t="s">
        <v>411</v>
      </c>
      <c r="B551" s="4" t="s">
        <v>412</v>
      </c>
      <c r="C551" s="4">
        <v>5</v>
      </c>
    </row>
    <row r="552" spans="1:3">
      <c r="A552" s="4" t="s">
        <v>373</v>
      </c>
      <c r="B552" s="4" t="s">
        <v>374</v>
      </c>
      <c r="C552" s="4">
        <v>2</v>
      </c>
    </row>
    <row r="553" spans="1:3">
      <c r="A553" s="4" t="s">
        <v>439</v>
      </c>
      <c r="B553" s="4" t="s">
        <v>440</v>
      </c>
      <c r="C553" s="4">
        <v>23</v>
      </c>
    </row>
    <row r="554" spans="1:3">
      <c r="A554" s="4" t="s">
        <v>455</v>
      </c>
      <c r="B554" s="4" t="s">
        <v>456</v>
      </c>
      <c r="C554" s="4">
        <v>1</v>
      </c>
    </row>
    <row r="555" spans="1:3">
      <c r="A555" s="4" t="s">
        <v>473</v>
      </c>
      <c r="B555" s="4" t="s">
        <v>474</v>
      </c>
      <c r="C555" s="4">
        <v>4</v>
      </c>
    </row>
    <row r="556" spans="1:3">
      <c r="A556" s="4" t="s">
        <v>507</v>
      </c>
      <c r="B556" s="4" t="s">
        <v>508</v>
      </c>
      <c r="C556" s="4">
        <v>364</v>
      </c>
    </row>
    <row r="557" spans="1:3">
      <c r="A557" s="4" t="s">
        <v>645</v>
      </c>
      <c r="B557" s="4" t="s">
        <v>646</v>
      </c>
      <c r="C557" s="4">
        <v>1</v>
      </c>
    </row>
    <row r="558" spans="1:3">
      <c r="A558" s="4" t="s">
        <v>725</v>
      </c>
      <c r="B558" s="4" t="s">
        <v>726</v>
      </c>
      <c r="C558" s="4">
        <v>7</v>
      </c>
    </row>
    <row r="559" spans="1:3">
      <c r="A559" s="4" t="s">
        <v>727</v>
      </c>
      <c r="B559" s="4" t="s">
        <v>728</v>
      </c>
      <c r="C559" s="4">
        <v>3</v>
      </c>
    </row>
    <row r="560" spans="1:3">
      <c r="A560" s="4" t="s">
        <v>839</v>
      </c>
      <c r="B560" s="4" t="s">
        <v>840</v>
      </c>
      <c r="C560" s="4">
        <v>14</v>
      </c>
    </row>
    <row r="561" spans="1:3">
      <c r="A561" s="4" t="s">
        <v>847</v>
      </c>
      <c r="B561" s="4" t="s">
        <v>848</v>
      </c>
      <c r="C561" s="4">
        <v>5</v>
      </c>
    </row>
    <row r="562" spans="1:3">
      <c r="A562" s="4" t="s">
        <v>903</v>
      </c>
      <c r="B562" s="4" t="s">
        <v>904</v>
      </c>
      <c r="C562" s="4">
        <v>5</v>
      </c>
    </row>
    <row r="563" spans="1:3">
      <c r="A563" s="4" t="s">
        <v>897</v>
      </c>
      <c r="B563" s="4" t="s">
        <v>898</v>
      </c>
      <c r="C563" s="4">
        <v>8</v>
      </c>
    </row>
    <row r="564" spans="1:3">
      <c r="A564" s="4" t="s">
        <v>993</v>
      </c>
      <c r="B564" s="4" t="s">
        <v>994</v>
      </c>
      <c r="C564" s="4">
        <v>2</v>
      </c>
    </row>
    <row r="565" spans="1:3">
      <c r="A565" s="4" t="s">
        <v>1005</v>
      </c>
      <c r="B565" s="4" t="s">
        <v>1006</v>
      </c>
      <c r="C565" s="4">
        <v>3</v>
      </c>
    </row>
    <row r="566" spans="1:3">
      <c r="A566" s="4" t="s">
        <v>1163</v>
      </c>
      <c r="B566" s="4" t="s">
        <v>1164</v>
      </c>
      <c r="C566" s="4">
        <v>16</v>
      </c>
    </row>
    <row r="567" spans="1:3">
      <c r="A567" s="4" t="s">
        <v>1229</v>
      </c>
      <c r="B567" s="4" t="s">
        <v>1230</v>
      </c>
      <c r="C567" s="4">
        <v>1</v>
      </c>
    </row>
    <row r="568" spans="1:3">
      <c r="A568" s="4" t="s">
        <v>1297</v>
      </c>
      <c r="B568" s="4" t="s">
        <v>1298</v>
      </c>
      <c r="C568" s="4">
        <v>5</v>
      </c>
    </row>
    <row r="569" spans="1:3">
      <c r="A569" s="4" t="s">
        <v>1411</v>
      </c>
      <c r="B569" s="4" t="s">
        <v>1412</v>
      </c>
      <c r="C569" s="4">
        <v>100</v>
      </c>
    </row>
    <row r="570" spans="1:3">
      <c r="A570" s="4" t="s">
        <v>1531</v>
      </c>
      <c r="B570" s="4" t="s">
        <v>1532</v>
      </c>
      <c r="C570" s="4">
        <v>13</v>
      </c>
    </row>
    <row r="571" spans="1:3">
      <c r="A571" s="4" t="s">
        <v>1551</v>
      </c>
      <c r="B571" s="4" t="s">
        <v>1552</v>
      </c>
      <c r="C571" s="4">
        <v>1</v>
      </c>
    </row>
    <row r="572" spans="1:3">
      <c r="A572" s="4" t="s">
        <v>1585</v>
      </c>
      <c r="B572" s="4" t="s">
        <v>1586</v>
      </c>
      <c r="C572" s="4">
        <v>3</v>
      </c>
    </row>
    <row r="573" spans="1:3">
      <c r="A573" s="4" t="s">
        <v>1689</v>
      </c>
      <c r="B573" s="4" t="s">
        <v>1690</v>
      </c>
      <c r="C573" s="4">
        <v>2</v>
      </c>
    </row>
    <row r="574" spans="1:3">
      <c r="A574" s="4" t="s">
        <v>1767</v>
      </c>
      <c r="B574" s="4" t="s">
        <v>1768</v>
      </c>
      <c r="C574" s="4">
        <v>1</v>
      </c>
    </row>
    <row r="575" spans="1:3">
      <c r="A575" s="4" t="s">
        <v>1829</v>
      </c>
      <c r="B575" s="4" t="s">
        <v>1830</v>
      </c>
      <c r="C575" s="4">
        <v>2</v>
      </c>
    </row>
    <row r="576" spans="1:3">
      <c r="A576" s="4" t="s">
        <v>1851</v>
      </c>
      <c r="B576" s="4" t="s">
        <v>1852</v>
      </c>
      <c r="C576" s="4">
        <v>7</v>
      </c>
    </row>
    <row r="577" spans="1:3">
      <c r="A577" s="4" t="s">
        <v>1883</v>
      </c>
      <c r="B577" s="4" t="s">
        <v>1884</v>
      </c>
      <c r="C577" s="4">
        <v>1</v>
      </c>
    </row>
    <row r="578" spans="1:3">
      <c r="A578" s="4" t="s">
        <v>2003</v>
      </c>
      <c r="B578" s="4" t="s">
        <v>2004</v>
      </c>
      <c r="C578" s="4">
        <v>30</v>
      </c>
    </row>
    <row r="579" spans="1:3">
      <c r="A579" s="4" t="s">
        <v>2057</v>
      </c>
      <c r="B579" s="4" t="s">
        <v>2058</v>
      </c>
      <c r="C579" s="4">
        <v>1</v>
      </c>
    </row>
    <row r="580" spans="1:3">
      <c r="A580" s="4" t="s">
        <v>2093</v>
      </c>
      <c r="B580" s="4" t="s">
        <v>2094</v>
      </c>
      <c r="C580" s="4">
        <v>4</v>
      </c>
    </row>
    <row r="581" spans="1:3">
      <c r="A581" s="4" t="s">
        <v>2081</v>
      </c>
      <c r="B581" s="4" t="s">
        <v>2082</v>
      </c>
      <c r="C581" s="4">
        <v>4</v>
      </c>
    </row>
    <row r="582" spans="1:3">
      <c r="A582" s="4" t="s">
        <v>2289</v>
      </c>
      <c r="B582" s="4" t="s">
        <v>2290</v>
      </c>
      <c r="C582" s="4">
        <v>2</v>
      </c>
    </row>
    <row r="583" spans="1:3">
      <c r="A583" s="4" t="s">
        <v>2698</v>
      </c>
      <c r="B583" s="4" t="s">
        <v>2699</v>
      </c>
      <c r="C583" s="4">
        <v>1</v>
      </c>
    </row>
    <row r="584" spans="1:3">
      <c r="A584" s="4" t="s">
        <v>2323</v>
      </c>
      <c r="B584" s="4" t="s">
        <v>2324</v>
      </c>
      <c r="C584" s="4">
        <v>1</v>
      </c>
    </row>
    <row r="585" spans="1:3">
      <c r="A585" s="4" t="s">
        <v>2329</v>
      </c>
      <c r="B585" s="4" t="s">
        <v>2330</v>
      </c>
      <c r="C585" s="4">
        <v>1</v>
      </c>
    </row>
    <row r="586" spans="1:3">
      <c r="A586" s="4" t="s">
        <v>2535</v>
      </c>
      <c r="B586" s="4" t="s">
        <v>2536</v>
      </c>
      <c r="C586" s="4">
        <v>20</v>
      </c>
    </row>
    <row r="587" spans="1:3">
      <c r="A587" s="4" t="s">
        <v>2533</v>
      </c>
      <c r="B587" s="4" t="s">
        <v>2534</v>
      </c>
      <c r="C587" s="4">
        <v>7</v>
      </c>
    </row>
    <row r="588" spans="1:3">
      <c r="A588" s="4" t="s">
        <v>2615</v>
      </c>
      <c r="B588" s="4" t="s">
        <v>2616</v>
      </c>
      <c r="C588" s="4">
        <v>4</v>
      </c>
    </row>
    <row r="589" spans="1:3">
      <c r="A589" s="4" t="s">
        <v>2637</v>
      </c>
      <c r="B589" s="4" t="s">
        <v>2638</v>
      </c>
      <c r="C589" s="4">
        <v>6</v>
      </c>
    </row>
    <row r="590" spans="1:3">
      <c r="A590" s="4" t="s">
        <v>113</v>
      </c>
      <c r="B590" s="4" t="s">
        <v>114</v>
      </c>
      <c r="C590" s="4">
        <v>2</v>
      </c>
    </row>
    <row r="591" spans="1:3">
      <c r="A591" s="4" t="s">
        <v>357</v>
      </c>
      <c r="B591" s="4" t="s">
        <v>358</v>
      </c>
      <c r="C591" s="4">
        <v>6</v>
      </c>
    </row>
    <row r="592" spans="1:3">
      <c r="A592" s="6" t="s">
        <v>401</v>
      </c>
      <c r="B592" s="6" t="s">
        <v>402</v>
      </c>
      <c r="C592" s="6">
        <v>0</v>
      </c>
    </row>
    <row r="593" spans="1:3">
      <c r="A593" s="4" t="s">
        <v>619</v>
      </c>
      <c r="B593" s="4" t="s">
        <v>620</v>
      </c>
      <c r="C593" s="4">
        <v>1</v>
      </c>
    </row>
    <row r="594" spans="1:3">
      <c r="A594" s="6" t="s">
        <v>2700</v>
      </c>
      <c r="B594" s="6" t="s">
        <v>2701</v>
      </c>
      <c r="C594" s="6">
        <v>-1</v>
      </c>
    </row>
    <row r="595" spans="1:3">
      <c r="A595" s="4" t="s">
        <v>1237</v>
      </c>
      <c r="B595" s="4" t="s">
        <v>1238</v>
      </c>
      <c r="C595" s="4">
        <v>52</v>
      </c>
    </row>
    <row r="596" spans="1:3">
      <c r="A596" s="4" t="s">
        <v>1223</v>
      </c>
      <c r="B596" s="4" t="s">
        <v>1224</v>
      </c>
      <c r="C596" s="4">
        <v>1</v>
      </c>
    </row>
    <row r="597" spans="1:3">
      <c r="A597" s="6" t="s">
        <v>2702</v>
      </c>
      <c r="B597" s="6" t="s">
        <v>2703</v>
      </c>
      <c r="C597" s="6">
        <v>-40</v>
      </c>
    </row>
    <row r="598" spans="1:3">
      <c r="A598" s="6" t="s">
        <v>1253</v>
      </c>
      <c r="B598" s="6" t="s">
        <v>1254</v>
      </c>
      <c r="C598" s="6">
        <v>0</v>
      </c>
    </row>
    <row r="599" spans="1:3">
      <c r="A599" s="4" t="s">
        <v>1391</v>
      </c>
      <c r="B599" s="4" t="s">
        <v>1392</v>
      </c>
      <c r="C599" s="4">
        <v>2</v>
      </c>
    </row>
    <row r="600" spans="1:3">
      <c r="A600" s="4" t="s">
        <v>1859</v>
      </c>
      <c r="B600" s="4" t="s">
        <v>1860</v>
      </c>
      <c r="C600" s="4">
        <v>2</v>
      </c>
    </row>
    <row r="601" spans="1:3">
      <c r="A601" s="4" t="s">
        <v>2023</v>
      </c>
      <c r="B601" s="4" t="s">
        <v>2024</v>
      </c>
      <c r="C601" s="4">
        <v>24</v>
      </c>
    </row>
    <row r="602" spans="1:3">
      <c r="A602" s="4" t="s">
        <v>2027</v>
      </c>
      <c r="B602" s="4" t="s">
        <v>2028</v>
      </c>
      <c r="C602" s="4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6"/>
  <sheetViews>
    <sheetView workbookViewId="0">
      <pane ySplit="1" topLeftCell="A2" activePane="bottomLeft" state="frozen"/>
      <selection/>
      <selection pane="bottomLeft" activeCell="B10" sqref="B10"/>
    </sheetView>
  </sheetViews>
  <sheetFormatPr defaultColWidth="9" defaultRowHeight="16.5" outlineLevelCol="2"/>
  <cols>
    <col min="1" max="1" width="9.875" style="1" customWidth="1"/>
    <col min="2" max="2" width="45.125" style="1" customWidth="1"/>
    <col min="3" max="3" width="14.625" style="1" customWidth="1"/>
    <col min="4" max="16384" width="9" style="2"/>
  </cols>
  <sheetData>
    <row r="1" ht="19.5" spans="1:3">
      <c r="A1" s="3" t="s">
        <v>0</v>
      </c>
      <c r="B1" s="3" t="s">
        <v>2678</v>
      </c>
      <c r="C1" s="3" t="s">
        <v>2704</v>
      </c>
    </row>
    <row r="2" spans="1:3">
      <c r="A2" s="4" t="s">
        <v>2705</v>
      </c>
      <c r="B2" s="4" t="s">
        <v>2706</v>
      </c>
      <c r="C2" s="4">
        <v>-0.2</v>
      </c>
    </row>
    <row r="3" spans="1:3">
      <c r="A3" s="4" t="s">
        <v>13</v>
      </c>
      <c r="B3" s="4" t="s">
        <v>14</v>
      </c>
      <c r="C3" s="4">
        <v>3.5</v>
      </c>
    </row>
    <row r="4" spans="1:3">
      <c r="A4" s="4" t="s">
        <v>23</v>
      </c>
      <c r="B4" s="4" t="s">
        <v>24</v>
      </c>
      <c r="C4" s="4">
        <v>2.8</v>
      </c>
    </row>
    <row r="5" spans="1:3">
      <c r="A5" s="4" t="s">
        <v>25</v>
      </c>
      <c r="B5" s="4" t="s">
        <v>26</v>
      </c>
      <c r="C5" s="4">
        <v>17.5</v>
      </c>
    </row>
    <row r="6" spans="1:3">
      <c r="A6" s="4" t="s">
        <v>35</v>
      </c>
      <c r="B6" s="4" t="s">
        <v>36</v>
      </c>
      <c r="C6" s="4">
        <v>4</v>
      </c>
    </row>
    <row r="7" spans="1:3">
      <c r="A7" s="4" t="s">
        <v>47</v>
      </c>
      <c r="B7" s="4" t="s">
        <v>48</v>
      </c>
      <c r="C7" s="4">
        <v>2</v>
      </c>
    </row>
    <row r="8" spans="1:3">
      <c r="A8" s="4" t="s">
        <v>43</v>
      </c>
      <c r="B8" s="4" t="s">
        <v>44</v>
      </c>
      <c r="C8" s="4">
        <v>-1.5</v>
      </c>
    </row>
    <row r="9" spans="1:3">
      <c r="A9" s="4" t="s">
        <v>2680</v>
      </c>
      <c r="B9" s="4" t="s">
        <v>2681</v>
      </c>
      <c r="C9" s="4">
        <v>6.8</v>
      </c>
    </row>
    <row r="10" spans="1:3">
      <c r="A10" s="4" t="s">
        <v>55</v>
      </c>
      <c r="B10" s="4" t="s">
        <v>56</v>
      </c>
      <c r="C10" s="4">
        <v>-2.8</v>
      </c>
    </row>
    <row r="11" spans="1:3">
      <c r="A11" s="5" t="s">
        <v>61</v>
      </c>
      <c r="B11" s="5" t="s">
        <v>62</v>
      </c>
      <c r="C11" s="5">
        <v>0.2</v>
      </c>
    </row>
    <row r="12" spans="1:3">
      <c r="A12" s="4" t="s">
        <v>63</v>
      </c>
      <c r="B12" s="4" t="s">
        <v>64</v>
      </c>
      <c r="C12" s="4">
        <v>86</v>
      </c>
    </row>
    <row r="13" spans="1:3">
      <c r="A13" s="4" t="s">
        <v>77</v>
      </c>
      <c r="B13" s="4" t="s">
        <v>78</v>
      </c>
      <c r="C13" s="4">
        <v>3.5</v>
      </c>
    </row>
    <row r="14" spans="1:3">
      <c r="A14" s="5" t="s">
        <v>75</v>
      </c>
      <c r="B14" s="5" t="s">
        <v>76</v>
      </c>
      <c r="C14" s="5">
        <v>0.2</v>
      </c>
    </row>
    <row r="15" spans="1:3">
      <c r="A15" s="4" t="s">
        <v>125</v>
      </c>
      <c r="B15" s="4" t="s">
        <v>126</v>
      </c>
      <c r="C15" s="4">
        <v>21.5</v>
      </c>
    </row>
    <row r="16" spans="1:3">
      <c r="A16" s="5" t="s">
        <v>131</v>
      </c>
      <c r="B16" s="5" t="s">
        <v>132</v>
      </c>
      <c r="C16" s="5">
        <v>0.5</v>
      </c>
    </row>
    <row r="17" spans="1:3">
      <c r="A17" s="4" t="s">
        <v>141</v>
      </c>
      <c r="B17" s="4" t="s">
        <v>142</v>
      </c>
      <c r="C17" s="4">
        <v>32.8</v>
      </c>
    </row>
    <row r="18" spans="1:3">
      <c r="A18" s="4" t="s">
        <v>145</v>
      </c>
      <c r="B18" s="4" t="s">
        <v>146</v>
      </c>
      <c r="C18" s="4">
        <v>22.2</v>
      </c>
    </row>
    <row r="19" spans="1:3">
      <c r="A19" s="4" t="s">
        <v>153</v>
      </c>
      <c r="B19" s="4" t="s">
        <v>154</v>
      </c>
      <c r="C19" s="4">
        <v>79.5</v>
      </c>
    </row>
    <row r="20" spans="1:3">
      <c r="A20" s="4" t="s">
        <v>155</v>
      </c>
      <c r="B20" s="4" t="s">
        <v>156</v>
      </c>
      <c r="C20" s="4">
        <v>187.2</v>
      </c>
    </row>
    <row r="21" spans="1:3">
      <c r="A21" s="4" t="s">
        <v>161</v>
      </c>
      <c r="B21" s="4" t="s">
        <v>162</v>
      </c>
      <c r="C21" s="4">
        <v>6.2</v>
      </c>
    </row>
    <row r="22" spans="1:3">
      <c r="A22" s="4" t="s">
        <v>163</v>
      </c>
      <c r="B22" s="4" t="s">
        <v>164</v>
      </c>
      <c r="C22" s="4">
        <v>33.5</v>
      </c>
    </row>
    <row r="23" spans="1:3">
      <c r="A23" s="4" t="s">
        <v>171</v>
      </c>
      <c r="B23" s="4" t="s">
        <v>172</v>
      </c>
      <c r="C23" s="4">
        <v>577.2</v>
      </c>
    </row>
    <row r="24" spans="1:3">
      <c r="A24" s="4" t="s">
        <v>187</v>
      </c>
      <c r="B24" s="4" t="s">
        <v>188</v>
      </c>
      <c r="C24" s="4">
        <v>16</v>
      </c>
    </row>
    <row r="25" spans="1:3">
      <c r="A25" s="5" t="s">
        <v>189</v>
      </c>
      <c r="B25" s="5" t="s">
        <v>190</v>
      </c>
      <c r="C25" s="5">
        <v>0.8</v>
      </c>
    </row>
    <row r="26" spans="1:3">
      <c r="A26" s="4" t="s">
        <v>221</v>
      </c>
      <c r="B26" s="4" t="s">
        <v>222</v>
      </c>
      <c r="C26" s="4">
        <v>37.2</v>
      </c>
    </row>
    <row r="27" spans="1:3">
      <c r="A27" s="4" t="s">
        <v>233</v>
      </c>
      <c r="B27" s="4" t="s">
        <v>234</v>
      </c>
      <c r="C27" s="4">
        <v>2.8</v>
      </c>
    </row>
    <row r="28" spans="1:3">
      <c r="A28" s="4" t="s">
        <v>243</v>
      </c>
      <c r="B28" s="4" t="s">
        <v>244</v>
      </c>
      <c r="C28" s="4">
        <v>13.2</v>
      </c>
    </row>
    <row r="29" spans="1:3">
      <c r="A29" s="5" t="s">
        <v>271</v>
      </c>
      <c r="B29" s="5" t="s">
        <v>272</v>
      </c>
      <c r="C29" s="5">
        <v>0.2</v>
      </c>
    </row>
    <row r="30" spans="1:3">
      <c r="A30" s="4" t="s">
        <v>255</v>
      </c>
      <c r="B30" s="4" t="s">
        <v>256</v>
      </c>
      <c r="C30" s="4">
        <v>3.2</v>
      </c>
    </row>
    <row r="31" spans="1:3">
      <c r="A31" s="5" t="s">
        <v>269</v>
      </c>
      <c r="B31" s="5" t="s">
        <v>270</v>
      </c>
      <c r="C31" s="5">
        <v>0</v>
      </c>
    </row>
    <row r="32" spans="1:3">
      <c r="A32" s="5" t="s">
        <v>277</v>
      </c>
      <c r="B32" s="5" t="s">
        <v>278</v>
      </c>
      <c r="C32" s="5">
        <v>0</v>
      </c>
    </row>
    <row r="33" spans="1:3">
      <c r="A33" s="4" t="s">
        <v>299</v>
      </c>
      <c r="B33" s="4" t="s">
        <v>300</v>
      </c>
      <c r="C33" s="4">
        <v>88.5</v>
      </c>
    </row>
    <row r="34" spans="1:3">
      <c r="A34" s="4" t="s">
        <v>2682</v>
      </c>
      <c r="B34" s="4" t="s">
        <v>2683</v>
      </c>
      <c r="C34" s="4">
        <v>17.2</v>
      </c>
    </row>
    <row r="35" spans="1:3">
      <c r="A35" s="5" t="s">
        <v>301</v>
      </c>
      <c r="B35" s="5" t="s">
        <v>302</v>
      </c>
      <c r="C35" s="5">
        <v>0.5</v>
      </c>
    </row>
    <row r="36" spans="1:3">
      <c r="A36" s="4" t="s">
        <v>315</v>
      </c>
      <c r="B36" s="4" t="s">
        <v>316</v>
      </c>
      <c r="C36" s="4">
        <v>1.5</v>
      </c>
    </row>
    <row r="37" spans="1:3">
      <c r="A37" s="4" t="s">
        <v>331</v>
      </c>
      <c r="B37" s="4" t="s">
        <v>332</v>
      </c>
      <c r="C37" s="4">
        <v>18</v>
      </c>
    </row>
    <row r="38" spans="1:3">
      <c r="A38" s="4" t="s">
        <v>353</v>
      </c>
      <c r="B38" s="4" t="s">
        <v>354</v>
      </c>
      <c r="C38" s="4">
        <v>188.5</v>
      </c>
    </row>
    <row r="39" spans="1:3">
      <c r="A39" s="4" t="s">
        <v>363</v>
      </c>
      <c r="B39" s="4" t="s">
        <v>364</v>
      </c>
      <c r="C39" s="4">
        <v>83</v>
      </c>
    </row>
    <row r="40" spans="1:3">
      <c r="A40" s="4" t="s">
        <v>365</v>
      </c>
      <c r="B40" s="4" t="s">
        <v>366</v>
      </c>
      <c r="C40" s="4">
        <v>5</v>
      </c>
    </row>
    <row r="41" spans="1:3">
      <c r="A41" s="4" t="s">
        <v>2684</v>
      </c>
      <c r="B41" s="4" t="s">
        <v>2685</v>
      </c>
      <c r="C41" s="4">
        <v>4</v>
      </c>
    </row>
    <row r="42" spans="1:3">
      <c r="A42" s="4" t="s">
        <v>375</v>
      </c>
      <c r="B42" s="4" t="s">
        <v>376</v>
      </c>
      <c r="C42" s="4">
        <v>14.2</v>
      </c>
    </row>
    <row r="43" spans="1:3">
      <c r="A43" s="4" t="s">
        <v>417</v>
      </c>
      <c r="B43" s="4" t="s">
        <v>418</v>
      </c>
      <c r="C43" s="4">
        <v>114.2</v>
      </c>
    </row>
    <row r="44" spans="1:3">
      <c r="A44" s="4" t="s">
        <v>413</v>
      </c>
      <c r="B44" s="4" t="s">
        <v>414</v>
      </c>
      <c r="C44" s="4">
        <v>20.2</v>
      </c>
    </row>
    <row r="45" spans="1:3">
      <c r="A45" s="4" t="s">
        <v>429</v>
      </c>
      <c r="B45" s="4" t="s">
        <v>430</v>
      </c>
      <c r="C45" s="4">
        <v>29.8</v>
      </c>
    </row>
    <row r="46" spans="1:3">
      <c r="A46" s="4" t="s">
        <v>445</v>
      </c>
      <c r="B46" s="4" t="s">
        <v>446</v>
      </c>
      <c r="C46" s="4">
        <v>1.8</v>
      </c>
    </row>
    <row r="47" spans="1:3">
      <c r="A47" s="5" t="s">
        <v>461</v>
      </c>
      <c r="B47" s="5" t="s">
        <v>462</v>
      </c>
      <c r="C47" s="5">
        <v>0.8</v>
      </c>
    </row>
    <row r="48" spans="1:3">
      <c r="A48" s="4" t="s">
        <v>463</v>
      </c>
      <c r="B48" s="4" t="s">
        <v>464</v>
      </c>
      <c r="C48" s="4">
        <v>87</v>
      </c>
    </row>
    <row r="49" spans="1:3">
      <c r="A49" s="4" t="s">
        <v>475</v>
      </c>
      <c r="B49" s="4" t="s">
        <v>476</v>
      </c>
      <c r="C49" s="4">
        <v>20</v>
      </c>
    </row>
    <row r="50" spans="1:3">
      <c r="A50" s="4" t="s">
        <v>479</v>
      </c>
      <c r="B50" s="4" t="s">
        <v>480</v>
      </c>
      <c r="C50" s="4">
        <v>117.2</v>
      </c>
    </row>
    <row r="51" spans="1:3">
      <c r="A51" s="4" t="s">
        <v>2707</v>
      </c>
      <c r="B51" s="4" t="s">
        <v>2708</v>
      </c>
      <c r="C51" s="4">
        <v>3.2</v>
      </c>
    </row>
    <row r="52" spans="1:3">
      <c r="A52" s="4" t="s">
        <v>503</v>
      </c>
      <c r="B52" s="4" t="s">
        <v>504</v>
      </c>
      <c r="C52" s="4">
        <v>70</v>
      </c>
    </row>
    <row r="53" spans="1:3">
      <c r="A53" s="4" t="s">
        <v>539</v>
      </c>
      <c r="B53" s="4" t="s">
        <v>540</v>
      </c>
      <c r="C53" s="4">
        <v>26.2</v>
      </c>
    </row>
    <row r="54" spans="1:3">
      <c r="A54" s="4" t="s">
        <v>545</v>
      </c>
      <c r="B54" s="4" t="s">
        <v>546</v>
      </c>
      <c r="C54" s="4">
        <v>1.2</v>
      </c>
    </row>
    <row r="55" spans="1:3">
      <c r="A55" s="4" t="s">
        <v>549</v>
      </c>
      <c r="B55" s="4" t="s">
        <v>550</v>
      </c>
      <c r="C55" s="4">
        <v>224.5</v>
      </c>
    </row>
    <row r="56" spans="1:3">
      <c r="A56" s="4" t="s">
        <v>567</v>
      </c>
      <c r="B56" s="4" t="s">
        <v>568</v>
      </c>
      <c r="C56" s="4">
        <v>36</v>
      </c>
    </row>
    <row r="57" spans="1:3">
      <c r="A57" s="4" t="s">
        <v>577</v>
      </c>
      <c r="B57" s="4" t="s">
        <v>578</v>
      </c>
      <c r="C57" s="4">
        <v>39</v>
      </c>
    </row>
    <row r="58" spans="1:3">
      <c r="A58" s="5" t="s">
        <v>581</v>
      </c>
      <c r="B58" s="5" t="s">
        <v>582</v>
      </c>
      <c r="C58" s="5">
        <v>0.8</v>
      </c>
    </row>
    <row r="59" spans="1:3">
      <c r="A59" s="4" t="s">
        <v>583</v>
      </c>
      <c r="B59" s="4" t="s">
        <v>584</v>
      </c>
      <c r="C59" s="4">
        <v>17.8</v>
      </c>
    </row>
    <row r="60" spans="1:3">
      <c r="A60" s="4" t="s">
        <v>609</v>
      </c>
      <c r="B60" s="4" t="s">
        <v>610</v>
      </c>
      <c r="C60" s="4">
        <v>6.8</v>
      </c>
    </row>
    <row r="61" spans="1:3">
      <c r="A61" s="4" t="s">
        <v>611</v>
      </c>
      <c r="B61" s="4" t="s">
        <v>612</v>
      </c>
      <c r="C61" s="4">
        <v>57.5</v>
      </c>
    </row>
    <row r="62" spans="1:3">
      <c r="A62" s="4" t="s">
        <v>631</v>
      </c>
      <c r="B62" s="4" t="s">
        <v>632</v>
      </c>
      <c r="C62" s="4">
        <v>201.2</v>
      </c>
    </row>
    <row r="63" spans="1:3">
      <c r="A63" s="4" t="s">
        <v>633</v>
      </c>
      <c r="B63" s="4" t="s">
        <v>634</v>
      </c>
      <c r="C63" s="4">
        <v>19.5</v>
      </c>
    </row>
    <row r="64" spans="1:3">
      <c r="A64" s="4" t="s">
        <v>1055</v>
      </c>
      <c r="B64" s="4" t="s">
        <v>1056</v>
      </c>
      <c r="C64" s="4">
        <v>10</v>
      </c>
    </row>
    <row r="65" spans="1:3">
      <c r="A65" s="4" t="s">
        <v>1057</v>
      </c>
      <c r="B65" s="4" t="s">
        <v>1058</v>
      </c>
      <c r="C65" s="4">
        <v>2.5</v>
      </c>
    </row>
    <row r="66" spans="1:3">
      <c r="A66" s="4" t="s">
        <v>641</v>
      </c>
      <c r="B66" s="4" t="s">
        <v>642</v>
      </c>
      <c r="C66" s="4">
        <v>1.2</v>
      </c>
    </row>
    <row r="67" spans="1:3">
      <c r="A67" s="4" t="s">
        <v>647</v>
      </c>
      <c r="B67" s="4" t="s">
        <v>648</v>
      </c>
      <c r="C67" s="4">
        <v>9.8</v>
      </c>
    </row>
    <row r="68" spans="1:3">
      <c r="A68" s="4" t="s">
        <v>663</v>
      </c>
      <c r="B68" s="4" t="s">
        <v>664</v>
      </c>
      <c r="C68" s="4">
        <v>4.8</v>
      </c>
    </row>
    <row r="69" spans="1:3">
      <c r="A69" s="4" t="s">
        <v>667</v>
      </c>
      <c r="B69" s="4" t="s">
        <v>668</v>
      </c>
      <c r="C69" s="4">
        <v>168.8</v>
      </c>
    </row>
    <row r="70" spans="1:3">
      <c r="A70" s="4" t="s">
        <v>679</v>
      </c>
      <c r="B70" s="4" t="s">
        <v>680</v>
      </c>
      <c r="C70" s="4">
        <v>304.2</v>
      </c>
    </row>
    <row r="71" spans="1:3">
      <c r="A71" s="4" t="s">
        <v>681</v>
      </c>
      <c r="B71" s="4" t="s">
        <v>682</v>
      </c>
      <c r="C71" s="4">
        <v>31</v>
      </c>
    </row>
    <row r="72" spans="1:3">
      <c r="A72" s="4" t="s">
        <v>685</v>
      </c>
      <c r="B72" s="4" t="s">
        <v>686</v>
      </c>
      <c r="C72" s="4">
        <v>8.2</v>
      </c>
    </row>
    <row r="73" spans="1:3">
      <c r="A73" s="4" t="s">
        <v>709</v>
      </c>
      <c r="B73" s="4" t="s">
        <v>710</v>
      </c>
      <c r="C73" s="4">
        <v>5.8</v>
      </c>
    </row>
    <row r="74" spans="1:3">
      <c r="A74" s="5" t="s">
        <v>713</v>
      </c>
      <c r="B74" s="5" t="s">
        <v>714</v>
      </c>
      <c r="C74" s="5">
        <v>0.8</v>
      </c>
    </row>
    <row r="75" spans="1:3">
      <c r="A75" s="4" t="s">
        <v>719</v>
      </c>
      <c r="B75" s="4" t="s">
        <v>720</v>
      </c>
      <c r="C75" s="4">
        <v>86.8</v>
      </c>
    </row>
    <row r="76" spans="1:3">
      <c r="A76" s="5" t="s">
        <v>771</v>
      </c>
      <c r="B76" s="5" t="s">
        <v>772</v>
      </c>
      <c r="C76" s="5">
        <v>0.2</v>
      </c>
    </row>
    <row r="77" spans="1:3">
      <c r="A77" s="4" t="s">
        <v>2709</v>
      </c>
      <c r="B77" s="4" t="s">
        <v>2710</v>
      </c>
      <c r="C77" s="4">
        <v>4.5</v>
      </c>
    </row>
    <row r="78" spans="1:3">
      <c r="A78" s="4" t="s">
        <v>803</v>
      </c>
      <c r="B78" s="4" t="s">
        <v>804</v>
      </c>
      <c r="C78" s="4">
        <v>-0.2</v>
      </c>
    </row>
    <row r="79" spans="1:3">
      <c r="A79" s="4" t="s">
        <v>807</v>
      </c>
      <c r="B79" s="4" t="s">
        <v>808</v>
      </c>
      <c r="C79" s="4">
        <v>2.2</v>
      </c>
    </row>
    <row r="80" spans="1:3">
      <c r="A80" s="4" t="s">
        <v>811</v>
      </c>
      <c r="B80" s="4" t="s">
        <v>812</v>
      </c>
      <c r="C80" s="4">
        <v>30.5</v>
      </c>
    </row>
    <row r="81" spans="1:3">
      <c r="A81" s="5" t="s">
        <v>825</v>
      </c>
      <c r="B81" s="5" t="s">
        <v>826</v>
      </c>
      <c r="C81" s="5">
        <v>0.2</v>
      </c>
    </row>
    <row r="82" spans="1:3">
      <c r="A82" s="4" t="s">
        <v>841</v>
      </c>
      <c r="B82" s="4" t="s">
        <v>842</v>
      </c>
      <c r="C82" s="4">
        <v>4.8</v>
      </c>
    </row>
    <row r="83" spans="1:3">
      <c r="A83" s="4" t="s">
        <v>917</v>
      </c>
      <c r="B83" s="4" t="s">
        <v>918</v>
      </c>
      <c r="C83" s="4">
        <v>8.2</v>
      </c>
    </row>
    <row r="84" spans="1:3">
      <c r="A84" s="4" t="s">
        <v>985</v>
      </c>
      <c r="B84" s="4" t="s">
        <v>986</v>
      </c>
      <c r="C84" s="4">
        <v>27</v>
      </c>
    </row>
    <row r="85" spans="1:3">
      <c r="A85" s="4" t="s">
        <v>881</v>
      </c>
      <c r="B85" s="4" t="s">
        <v>882</v>
      </c>
      <c r="C85" s="4">
        <v>1</v>
      </c>
    </row>
    <row r="86" spans="1:3">
      <c r="A86" s="4" t="s">
        <v>891</v>
      </c>
      <c r="B86" s="4" t="s">
        <v>892</v>
      </c>
      <c r="C86" s="4">
        <v>8.8</v>
      </c>
    </row>
    <row r="87" spans="1:3">
      <c r="A87" s="4" t="s">
        <v>913</v>
      </c>
      <c r="B87" s="4" t="s">
        <v>914</v>
      </c>
      <c r="C87" s="4">
        <v>4</v>
      </c>
    </row>
    <row r="88" spans="1:3">
      <c r="A88" s="5" t="s">
        <v>919</v>
      </c>
      <c r="B88" s="5" t="s">
        <v>920</v>
      </c>
      <c r="C88" s="5">
        <v>0.5</v>
      </c>
    </row>
    <row r="89" spans="1:3">
      <c r="A89" s="4" t="s">
        <v>921</v>
      </c>
      <c r="B89" s="4" t="s">
        <v>922</v>
      </c>
      <c r="C89" s="4">
        <v>440.2</v>
      </c>
    </row>
    <row r="90" spans="1:3">
      <c r="A90" s="5" t="s">
        <v>953</v>
      </c>
      <c r="B90" s="5" t="s">
        <v>954</v>
      </c>
      <c r="C90" s="5">
        <v>0</v>
      </c>
    </row>
    <row r="91" spans="1:3">
      <c r="A91" s="4" t="s">
        <v>951</v>
      </c>
      <c r="B91" s="4" t="s">
        <v>952</v>
      </c>
      <c r="C91" s="4">
        <v>551.2</v>
      </c>
    </row>
    <row r="92" spans="1:3">
      <c r="A92" s="4" t="s">
        <v>943</v>
      </c>
      <c r="B92" s="4" t="s">
        <v>944</v>
      </c>
      <c r="C92" s="4">
        <v>-0.2</v>
      </c>
    </row>
    <row r="93" spans="1:3">
      <c r="A93" s="5" t="s">
        <v>965</v>
      </c>
      <c r="B93" s="5" t="s">
        <v>966</v>
      </c>
      <c r="C93" s="5">
        <v>0.8</v>
      </c>
    </row>
    <row r="94" spans="1:3">
      <c r="A94" s="4" t="s">
        <v>979</v>
      </c>
      <c r="B94" s="4" t="s">
        <v>980</v>
      </c>
      <c r="C94" s="4">
        <v>36.8</v>
      </c>
    </row>
    <row r="95" spans="1:3">
      <c r="A95" s="4" t="s">
        <v>981</v>
      </c>
      <c r="B95" s="4" t="s">
        <v>982</v>
      </c>
      <c r="C95" s="4">
        <v>-1046.2</v>
      </c>
    </row>
    <row r="96" spans="1:3">
      <c r="A96" s="4" t="s">
        <v>995</v>
      </c>
      <c r="B96" s="4" t="s">
        <v>996</v>
      </c>
      <c r="C96" s="4">
        <v>3</v>
      </c>
    </row>
    <row r="97" spans="1:3">
      <c r="A97" s="4" t="s">
        <v>1001</v>
      </c>
      <c r="B97" s="4" t="s">
        <v>1002</v>
      </c>
      <c r="C97" s="4">
        <v>1087.5</v>
      </c>
    </row>
    <row r="98" spans="1:3">
      <c r="A98" s="4" t="s">
        <v>2711</v>
      </c>
      <c r="B98" s="4" t="s">
        <v>2712</v>
      </c>
      <c r="C98" s="4">
        <v>-2</v>
      </c>
    </row>
    <row r="99" spans="1:3">
      <c r="A99" s="4" t="s">
        <v>1023</v>
      </c>
      <c r="B99" s="4" t="s">
        <v>1024</v>
      </c>
      <c r="C99" s="4">
        <v>100.2</v>
      </c>
    </row>
    <row r="100" spans="1:3">
      <c r="A100" s="5" t="s">
        <v>1039</v>
      </c>
      <c r="B100" s="5" t="s">
        <v>1040</v>
      </c>
      <c r="C100" s="5">
        <v>0.8</v>
      </c>
    </row>
    <row r="101" spans="1:3">
      <c r="A101" s="4" t="s">
        <v>1045</v>
      </c>
      <c r="B101" s="4" t="s">
        <v>1046</v>
      </c>
      <c r="C101" s="4">
        <v>8.5</v>
      </c>
    </row>
    <row r="102" spans="1:3">
      <c r="A102" s="4" t="s">
        <v>1041</v>
      </c>
      <c r="B102" s="4" t="s">
        <v>1042</v>
      </c>
      <c r="C102" s="4">
        <v>31.8</v>
      </c>
    </row>
    <row r="103" spans="1:3">
      <c r="A103" s="4" t="s">
        <v>1043</v>
      </c>
      <c r="B103" s="4" t="s">
        <v>1044</v>
      </c>
      <c r="C103" s="4">
        <v>24.2</v>
      </c>
    </row>
    <row r="104" spans="1:3">
      <c r="A104" s="4" t="s">
        <v>1063</v>
      </c>
      <c r="B104" s="4" t="s">
        <v>1064</v>
      </c>
      <c r="C104" s="4">
        <v>35.2</v>
      </c>
    </row>
    <row r="105" spans="1:3">
      <c r="A105" s="4" t="s">
        <v>1073</v>
      </c>
      <c r="B105" s="4" t="s">
        <v>1074</v>
      </c>
      <c r="C105" s="4">
        <v>38</v>
      </c>
    </row>
    <row r="106" spans="1:3">
      <c r="A106" s="4" t="s">
        <v>1101</v>
      </c>
      <c r="B106" s="4" t="s">
        <v>1102</v>
      </c>
      <c r="C106" s="4">
        <v>3.2</v>
      </c>
    </row>
    <row r="107" spans="1:3">
      <c r="A107" s="4" t="s">
        <v>1075</v>
      </c>
      <c r="B107" s="4" t="s">
        <v>1076</v>
      </c>
      <c r="C107" s="4">
        <v>1.8</v>
      </c>
    </row>
    <row r="108" spans="1:3">
      <c r="A108" s="4" t="s">
        <v>1083</v>
      </c>
      <c r="B108" s="4" t="s">
        <v>2672</v>
      </c>
      <c r="C108" s="4">
        <v>327.5</v>
      </c>
    </row>
    <row r="109" spans="1:3">
      <c r="A109" s="4" t="s">
        <v>1085</v>
      </c>
      <c r="B109" s="4" t="s">
        <v>1086</v>
      </c>
      <c r="C109" s="4">
        <v>21.8</v>
      </c>
    </row>
    <row r="110" spans="1:3">
      <c r="A110" s="5" t="s">
        <v>1097</v>
      </c>
      <c r="B110" s="5" t="s">
        <v>1098</v>
      </c>
      <c r="C110" s="5">
        <v>0.8</v>
      </c>
    </row>
    <row r="111" spans="1:3">
      <c r="A111" s="5" t="s">
        <v>1159</v>
      </c>
      <c r="B111" s="5" t="s">
        <v>1160</v>
      </c>
      <c r="C111" s="5">
        <v>0.2</v>
      </c>
    </row>
    <row r="112" spans="1:3">
      <c r="A112" s="4" t="s">
        <v>1153</v>
      </c>
      <c r="B112" s="4" t="s">
        <v>1154</v>
      </c>
      <c r="C112" s="4">
        <v>2</v>
      </c>
    </row>
    <row r="113" spans="1:3">
      <c r="A113" s="5" t="s">
        <v>1157</v>
      </c>
      <c r="B113" s="5" t="s">
        <v>1158</v>
      </c>
      <c r="C113" s="5">
        <v>0.5</v>
      </c>
    </row>
    <row r="114" spans="1:3">
      <c r="A114" s="4" t="s">
        <v>1145</v>
      </c>
      <c r="B114" s="4" t="s">
        <v>1146</v>
      </c>
      <c r="C114" s="4">
        <v>38</v>
      </c>
    </row>
    <row r="115" spans="1:3">
      <c r="A115" s="5" t="s">
        <v>1149</v>
      </c>
      <c r="B115" s="5" t="s">
        <v>1150</v>
      </c>
      <c r="C115" s="5">
        <v>0.8</v>
      </c>
    </row>
    <row r="116" spans="1:3">
      <c r="A116" s="5" t="s">
        <v>1155</v>
      </c>
      <c r="B116" s="5" t="s">
        <v>1156</v>
      </c>
      <c r="C116" s="5">
        <v>0.2</v>
      </c>
    </row>
    <row r="117" spans="1:3">
      <c r="A117" s="4" t="s">
        <v>1161</v>
      </c>
      <c r="B117" s="4" t="s">
        <v>1162</v>
      </c>
      <c r="C117" s="4">
        <v>3</v>
      </c>
    </row>
    <row r="118" spans="1:3">
      <c r="A118" s="4" t="s">
        <v>1835</v>
      </c>
      <c r="B118" s="4" t="s">
        <v>1836</v>
      </c>
      <c r="C118" s="4">
        <v>1.5</v>
      </c>
    </row>
    <row r="119" spans="1:3">
      <c r="A119" s="4" t="s">
        <v>1219</v>
      </c>
      <c r="B119" s="4" t="s">
        <v>1220</v>
      </c>
      <c r="C119" s="4">
        <v>101.2</v>
      </c>
    </row>
    <row r="120" spans="1:3">
      <c r="A120" s="4" t="s">
        <v>1231</v>
      </c>
      <c r="B120" s="4" t="s">
        <v>1232</v>
      </c>
      <c r="C120" s="4">
        <v>2.2</v>
      </c>
    </row>
    <row r="121" spans="1:3">
      <c r="A121" s="4" t="s">
        <v>1235</v>
      </c>
      <c r="B121" s="4" t="s">
        <v>1236</v>
      </c>
      <c r="C121" s="4">
        <v>49</v>
      </c>
    </row>
    <row r="122" spans="1:3">
      <c r="A122" s="4" t="s">
        <v>1265</v>
      </c>
      <c r="B122" s="4" t="s">
        <v>1266</v>
      </c>
      <c r="C122" s="4">
        <v>6.8</v>
      </c>
    </row>
    <row r="123" spans="1:3">
      <c r="A123" s="4" t="s">
        <v>1251</v>
      </c>
      <c r="B123" s="4" t="s">
        <v>1252</v>
      </c>
      <c r="C123" s="4">
        <v>27</v>
      </c>
    </row>
    <row r="124" spans="1:3">
      <c r="A124" s="4" t="s">
        <v>1261</v>
      </c>
      <c r="B124" s="4" t="s">
        <v>1262</v>
      </c>
      <c r="C124" s="4">
        <v>1</v>
      </c>
    </row>
    <row r="125" spans="1:3">
      <c r="A125" s="4" t="s">
        <v>1275</v>
      </c>
      <c r="B125" s="4" t="s">
        <v>1276</v>
      </c>
      <c r="C125" s="4">
        <v>1</v>
      </c>
    </row>
    <row r="126" spans="1:3">
      <c r="A126" s="5" t="s">
        <v>1283</v>
      </c>
      <c r="B126" s="5" t="s">
        <v>1284</v>
      </c>
      <c r="C126" s="5">
        <v>0.2</v>
      </c>
    </row>
    <row r="127" spans="1:3">
      <c r="A127" s="5" t="s">
        <v>1287</v>
      </c>
      <c r="B127" s="5" t="s">
        <v>1288</v>
      </c>
      <c r="C127" s="5">
        <v>0.2</v>
      </c>
    </row>
    <row r="128" spans="1:3">
      <c r="A128" s="4" t="s">
        <v>1305</v>
      </c>
      <c r="B128" s="4" t="s">
        <v>1306</v>
      </c>
      <c r="C128" s="4">
        <v>19.8</v>
      </c>
    </row>
    <row r="129" spans="1:3">
      <c r="A129" s="4" t="s">
        <v>1307</v>
      </c>
      <c r="B129" s="4" t="s">
        <v>1308</v>
      </c>
      <c r="C129" s="4">
        <v>2</v>
      </c>
    </row>
    <row r="130" spans="1:3">
      <c r="A130" s="4" t="s">
        <v>1345</v>
      </c>
      <c r="B130" s="4" t="s">
        <v>1346</v>
      </c>
      <c r="C130" s="4">
        <v>2.5</v>
      </c>
    </row>
    <row r="131" spans="1:3">
      <c r="A131" s="4" t="s">
        <v>1357</v>
      </c>
      <c r="B131" s="4" t="s">
        <v>1358</v>
      </c>
      <c r="C131" s="4">
        <v>1.8</v>
      </c>
    </row>
    <row r="132" spans="1:3">
      <c r="A132" s="5" t="s">
        <v>1359</v>
      </c>
      <c r="B132" s="5" t="s">
        <v>1360</v>
      </c>
      <c r="C132" s="5">
        <v>0.5</v>
      </c>
    </row>
    <row r="133" spans="1:3">
      <c r="A133" s="4" t="s">
        <v>1491</v>
      </c>
      <c r="B133" s="4" t="s">
        <v>1492</v>
      </c>
      <c r="C133" s="4">
        <v>1.2</v>
      </c>
    </row>
    <row r="134" spans="1:3">
      <c r="A134" s="4" t="s">
        <v>2713</v>
      </c>
      <c r="B134" s="4" t="s">
        <v>2714</v>
      </c>
      <c r="C134" s="4">
        <v>3.2</v>
      </c>
    </row>
    <row r="135" spans="1:3">
      <c r="A135" s="4" t="s">
        <v>1371</v>
      </c>
      <c r="B135" s="4" t="s">
        <v>1372</v>
      </c>
      <c r="C135" s="4">
        <v>22.8</v>
      </c>
    </row>
    <row r="136" spans="1:3">
      <c r="A136" s="4" t="s">
        <v>1375</v>
      </c>
      <c r="B136" s="4" t="s">
        <v>1376</v>
      </c>
      <c r="C136" s="4">
        <v>8.2</v>
      </c>
    </row>
    <row r="137" spans="1:3">
      <c r="A137" s="4" t="s">
        <v>1377</v>
      </c>
      <c r="B137" s="4" t="s">
        <v>1378</v>
      </c>
      <c r="C137" s="4">
        <v>22.8</v>
      </c>
    </row>
    <row r="138" spans="1:3">
      <c r="A138" s="5" t="s">
        <v>1381</v>
      </c>
      <c r="B138" s="5" t="s">
        <v>1382</v>
      </c>
      <c r="C138" s="5">
        <v>0.8</v>
      </c>
    </row>
    <row r="139" spans="1:3">
      <c r="A139" s="4" t="s">
        <v>1399</v>
      </c>
      <c r="B139" s="4" t="s">
        <v>1400</v>
      </c>
      <c r="C139" s="4">
        <v>32.8</v>
      </c>
    </row>
    <row r="140" spans="1:3">
      <c r="A140" s="4" t="s">
        <v>1407</v>
      </c>
      <c r="B140" s="4" t="s">
        <v>1408</v>
      </c>
      <c r="C140" s="4">
        <v>345</v>
      </c>
    </row>
    <row r="141" spans="1:3">
      <c r="A141" s="4" t="s">
        <v>1417</v>
      </c>
      <c r="B141" s="4" t="s">
        <v>1418</v>
      </c>
      <c r="C141" s="4">
        <v>357.2</v>
      </c>
    </row>
    <row r="142" spans="1:3">
      <c r="A142" s="4" t="s">
        <v>1425</v>
      </c>
      <c r="B142" s="4" t="s">
        <v>1426</v>
      </c>
      <c r="C142" s="4">
        <v>1.8</v>
      </c>
    </row>
    <row r="143" spans="1:3">
      <c r="A143" s="4" t="s">
        <v>1439</v>
      </c>
      <c r="B143" s="4" t="s">
        <v>1440</v>
      </c>
      <c r="C143" s="4">
        <v>-0.2</v>
      </c>
    </row>
    <row r="144" spans="1:3">
      <c r="A144" s="4" t="s">
        <v>1445</v>
      </c>
      <c r="B144" s="4" t="s">
        <v>1446</v>
      </c>
      <c r="C144" s="4">
        <v>5.5</v>
      </c>
    </row>
    <row r="145" spans="1:3">
      <c r="A145" s="4" t="s">
        <v>1447</v>
      </c>
      <c r="B145" s="4" t="s">
        <v>1448</v>
      </c>
      <c r="C145" s="4">
        <v>1</v>
      </c>
    </row>
    <row r="146" spans="1:3">
      <c r="A146" s="5" t="s">
        <v>2715</v>
      </c>
      <c r="B146" s="5" t="s">
        <v>2716</v>
      </c>
      <c r="C146" s="5">
        <v>0</v>
      </c>
    </row>
    <row r="147" spans="1:3">
      <c r="A147" s="4" t="s">
        <v>1481</v>
      </c>
      <c r="B147" s="4" t="s">
        <v>1482</v>
      </c>
      <c r="C147" s="4">
        <v>113.8</v>
      </c>
    </row>
    <row r="148" spans="1:3">
      <c r="A148" s="5" t="s">
        <v>1485</v>
      </c>
      <c r="B148" s="5" t="s">
        <v>1486</v>
      </c>
      <c r="C148" s="5">
        <v>0.5</v>
      </c>
    </row>
    <row r="149" spans="1:3">
      <c r="A149" s="5" t="s">
        <v>1487</v>
      </c>
      <c r="B149" s="5" t="s">
        <v>1488</v>
      </c>
      <c r="C149" s="5">
        <v>0.2</v>
      </c>
    </row>
    <row r="150" spans="1:3">
      <c r="A150" s="4" t="s">
        <v>1549</v>
      </c>
      <c r="B150" s="4" t="s">
        <v>1550</v>
      </c>
      <c r="C150" s="4">
        <v>1.2</v>
      </c>
    </row>
    <row r="151" spans="1:3">
      <c r="A151" s="5" t="s">
        <v>2717</v>
      </c>
      <c r="B151" s="5" t="s">
        <v>2718</v>
      </c>
      <c r="C151" s="5">
        <v>0</v>
      </c>
    </row>
    <row r="152" spans="1:3">
      <c r="A152" s="4" t="s">
        <v>1515</v>
      </c>
      <c r="B152" s="4" t="s">
        <v>1516</v>
      </c>
      <c r="C152" s="4">
        <v>4.5</v>
      </c>
    </row>
    <row r="153" spans="1:3">
      <c r="A153" s="4" t="s">
        <v>1513</v>
      </c>
      <c r="B153" s="4" t="s">
        <v>1514</v>
      </c>
      <c r="C153" s="4">
        <v>-0.2</v>
      </c>
    </row>
    <row r="154" spans="1:3">
      <c r="A154" s="4" t="s">
        <v>1545</v>
      </c>
      <c r="B154" s="4" t="s">
        <v>1546</v>
      </c>
      <c r="C154" s="4">
        <v>33.5</v>
      </c>
    </row>
    <row r="155" spans="1:3">
      <c r="A155" s="5" t="s">
        <v>1581</v>
      </c>
      <c r="B155" s="5" t="s">
        <v>1582</v>
      </c>
      <c r="C155" s="5">
        <v>0</v>
      </c>
    </row>
    <row r="156" spans="1:3">
      <c r="A156" s="5" t="s">
        <v>1577</v>
      </c>
      <c r="B156" s="5" t="s">
        <v>1578</v>
      </c>
      <c r="C156" s="5">
        <v>0.2</v>
      </c>
    </row>
    <row r="157" spans="1:3">
      <c r="A157" s="4" t="s">
        <v>1589</v>
      </c>
      <c r="B157" s="4" t="s">
        <v>1590</v>
      </c>
      <c r="C157" s="4">
        <v>13</v>
      </c>
    </row>
    <row r="158" spans="1:3">
      <c r="A158" s="4" t="s">
        <v>1593</v>
      </c>
      <c r="B158" s="4" t="s">
        <v>1594</v>
      </c>
      <c r="C158" s="4">
        <v>21.2</v>
      </c>
    </row>
    <row r="159" spans="1:3">
      <c r="A159" s="4" t="s">
        <v>1595</v>
      </c>
      <c r="B159" s="4" t="s">
        <v>1596</v>
      </c>
      <c r="C159" s="4">
        <v>73.2</v>
      </c>
    </row>
    <row r="160" spans="1:3">
      <c r="A160" s="4" t="s">
        <v>1599</v>
      </c>
      <c r="B160" s="4" t="s">
        <v>1600</v>
      </c>
      <c r="C160" s="4">
        <v>2.5</v>
      </c>
    </row>
    <row r="161" spans="1:3">
      <c r="A161" s="4" t="s">
        <v>1611</v>
      </c>
      <c r="B161" s="4" t="s">
        <v>1612</v>
      </c>
      <c r="C161" s="4">
        <v>4</v>
      </c>
    </row>
    <row r="162" spans="1:3">
      <c r="A162" s="4" t="s">
        <v>1617</v>
      </c>
      <c r="B162" s="4" t="s">
        <v>1618</v>
      </c>
      <c r="C162" s="4">
        <v>1.8</v>
      </c>
    </row>
    <row r="163" spans="1:3">
      <c r="A163" s="4" t="s">
        <v>2719</v>
      </c>
      <c r="B163" s="4" t="s">
        <v>2720</v>
      </c>
      <c r="C163" s="4">
        <v>11.2</v>
      </c>
    </row>
    <row r="164" spans="1:3">
      <c r="A164" s="4" t="s">
        <v>1615</v>
      </c>
      <c r="B164" s="4" t="s">
        <v>1616</v>
      </c>
      <c r="C164" s="4">
        <v>4</v>
      </c>
    </row>
    <row r="165" spans="1:3">
      <c r="A165" s="4" t="s">
        <v>1613</v>
      </c>
      <c r="B165" s="4" t="s">
        <v>1614</v>
      </c>
      <c r="C165" s="4">
        <v>-0.5</v>
      </c>
    </row>
    <row r="166" spans="1:3">
      <c r="A166" s="4" t="s">
        <v>1623</v>
      </c>
      <c r="B166" s="4" t="s">
        <v>1624</v>
      </c>
      <c r="C166" s="4">
        <v>1</v>
      </c>
    </row>
    <row r="167" spans="1:3">
      <c r="A167" s="5" t="s">
        <v>1655</v>
      </c>
      <c r="B167" s="5" t="s">
        <v>2721</v>
      </c>
      <c r="C167" s="5">
        <v>0.5</v>
      </c>
    </row>
    <row r="168" spans="1:3">
      <c r="A168" s="4" t="s">
        <v>1661</v>
      </c>
      <c r="B168" s="4" t="s">
        <v>2686</v>
      </c>
      <c r="C168" s="4">
        <v>51</v>
      </c>
    </row>
    <row r="169" spans="1:3">
      <c r="A169" s="4" t="s">
        <v>1665</v>
      </c>
      <c r="B169" s="4" t="s">
        <v>1666</v>
      </c>
      <c r="C169" s="4">
        <v>6</v>
      </c>
    </row>
    <row r="170" spans="1:3">
      <c r="A170" s="4" t="s">
        <v>1675</v>
      </c>
      <c r="B170" s="4" t="s">
        <v>1676</v>
      </c>
      <c r="C170" s="4">
        <v>1.5</v>
      </c>
    </row>
    <row r="171" spans="1:3">
      <c r="A171" s="5" t="s">
        <v>1679</v>
      </c>
      <c r="B171" s="5" t="s">
        <v>1680</v>
      </c>
      <c r="C171" s="5">
        <v>0.5</v>
      </c>
    </row>
    <row r="172" spans="1:3">
      <c r="A172" s="4" t="s">
        <v>1717</v>
      </c>
      <c r="B172" s="4" t="s">
        <v>1718</v>
      </c>
      <c r="C172" s="4">
        <v>1</v>
      </c>
    </row>
    <row r="173" spans="1:3">
      <c r="A173" s="4" t="s">
        <v>1687</v>
      </c>
      <c r="B173" s="4" t="s">
        <v>1688</v>
      </c>
      <c r="C173" s="4">
        <v>482.5</v>
      </c>
    </row>
    <row r="174" spans="1:3">
      <c r="A174" s="5" t="s">
        <v>1695</v>
      </c>
      <c r="B174" s="5" t="s">
        <v>2687</v>
      </c>
      <c r="C174" s="5">
        <v>0.5</v>
      </c>
    </row>
    <row r="175" spans="1:3">
      <c r="A175" s="5" t="s">
        <v>2722</v>
      </c>
      <c r="B175" s="5" t="s">
        <v>2723</v>
      </c>
      <c r="C175" s="5">
        <v>0</v>
      </c>
    </row>
    <row r="176" spans="1:3">
      <c r="A176" s="4" t="s">
        <v>1713</v>
      </c>
      <c r="B176" s="4" t="s">
        <v>1714</v>
      </c>
      <c r="C176" s="4">
        <v>26.2</v>
      </c>
    </row>
    <row r="177" spans="1:3">
      <c r="A177" s="4" t="s">
        <v>1727</v>
      </c>
      <c r="B177" s="4" t="s">
        <v>1728</v>
      </c>
      <c r="C177" s="4">
        <v>188.2</v>
      </c>
    </row>
    <row r="178" spans="1:3">
      <c r="A178" s="4" t="s">
        <v>1743</v>
      </c>
      <c r="B178" s="4" t="s">
        <v>1744</v>
      </c>
      <c r="C178" s="4">
        <v>15</v>
      </c>
    </row>
    <row r="179" spans="1:3">
      <c r="A179" s="5" t="s">
        <v>1761</v>
      </c>
      <c r="B179" s="5" t="s">
        <v>1762</v>
      </c>
      <c r="C179" s="5">
        <v>0.2</v>
      </c>
    </row>
    <row r="180" spans="1:3">
      <c r="A180" s="4" t="s">
        <v>1771</v>
      </c>
      <c r="B180" s="4" t="s">
        <v>1772</v>
      </c>
      <c r="C180" s="4">
        <v>304.2</v>
      </c>
    </row>
    <row r="181" spans="1:3">
      <c r="A181" s="5" t="s">
        <v>2724</v>
      </c>
      <c r="B181" s="5" t="s">
        <v>2725</v>
      </c>
      <c r="C181" s="5">
        <v>0.5</v>
      </c>
    </row>
    <row r="182" spans="1:3">
      <c r="A182" s="4" t="s">
        <v>1781</v>
      </c>
      <c r="B182" s="4" t="s">
        <v>1782</v>
      </c>
      <c r="C182" s="4">
        <v>-1.5</v>
      </c>
    </row>
    <row r="183" spans="1:3">
      <c r="A183" s="4" t="s">
        <v>1799</v>
      </c>
      <c r="B183" s="4" t="s">
        <v>1800</v>
      </c>
      <c r="C183" s="4">
        <v>13.2</v>
      </c>
    </row>
    <row r="184" spans="1:3">
      <c r="A184" s="4" t="s">
        <v>1797</v>
      </c>
      <c r="B184" s="4" t="s">
        <v>1798</v>
      </c>
      <c r="C184" s="4">
        <v>18.8</v>
      </c>
    </row>
    <row r="185" spans="1:3">
      <c r="A185" s="4" t="s">
        <v>1801</v>
      </c>
      <c r="B185" s="4" t="s">
        <v>1802</v>
      </c>
      <c r="C185" s="4">
        <v>7</v>
      </c>
    </row>
    <row r="186" spans="1:3">
      <c r="A186" s="5" t="s">
        <v>1805</v>
      </c>
      <c r="B186" s="5" t="s">
        <v>1806</v>
      </c>
      <c r="C186" s="5">
        <v>0.5</v>
      </c>
    </row>
    <row r="187" spans="1:3">
      <c r="A187" s="4" t="s">
        <v>1809</v>
      </c>
      <c r="B187" s="4" t="s">
        <v>1810</v>
      </c>
      <c r="C187" s="4">
        <v>491.8</v>
      </c>
    </row>
    <row r="188" spans="1:3">
      <c r="A188" s="4" t="s">
        <v>1821</v>
      </c>
      <c r="B188" s="4" t="s">
        <v>1822</v>
      </c>
      <c r="C188" s="4">
        <v>26.8</v>
      </c>
    </row>
    <row r="189" spans="1:3">
      <c r="A189" s="4" t="s">
        <v>1811</v>
      </c>
      <c r="B189" s="4" t="s">
        <v>1812</v>
      </c>
      <c r="C189" s="4">
        <v>3</v>
      </c>
    </row>
    <row r="190" spans="1:3">
      <c r="A190" s="4" t="s">
        <v>1853</v>
      </c>
      <c r="B190" s="4" t="s">
        <v>1854</v>
      </c>
      <c r="C190" s="4">
        <v>111</v>
      </c>
    </row>
    <row r="191" spans="1:3">
      <c r="A191" s="4" t="s">
        <v>2726</v>
      </c>
      <c r="B191" s="4" t="s">
        <v>2727</v>
      </c>
      <c r="C191" s="4">
        <v>2.5</v>
      </c>
    </row>
    <row r="192" spans="1:3">
      <c r="A192" s="4" t="s">
        <v>1963</v>
      </c>
      <c r="B192" s="4" t="s">
        <v>1964</v>
      </c>
      <c r="C192" s="4">
        <v>2.8</v>
      </c>
    </row>
    <row r="193" spans="1:3">
      <c r="A193" s="4" t="s">
        <v>1869</v>
      </c>
      <c r="B193" s="4" t="s">
        <v>1870</v>
      </c>
      <c r="C193" s="4">
        <v>2.2</v>
      </c>
    </row>
    <row r="194" spans="1:3">
      <c r="A194" s="5" t="s">
        <v>1893</v>
      </c>
      <c r="B194" s="5" t="s">
        <v>1894</v>
      </c>
      <c r="C194" s="5">
        <v>0.8</v>
      </c>
    </row>
    <row r="195" spans="1:3">
      <c r="A195" s="4" t="s">
        <v>1897</v>
      </c>
      <c r="B195" s="4" t="s">
        <v>1898</v>
      </c>
      <c r="C195" s="4">
        <v>1.5</v>
      </c>
    </row>
    <row r="196" spans="1:3">
      <c r="A196" s="4" t="s">
        <v>1921</v>
      </c>
      <c r="B196" s="4" t="s">
        <v>1922</v>
      </c>
      <c r="C196" s="4">
        <v>5.5</v>
      </c>
    </row>
    <row r="197" spans="1:3">
      <c r="A197" s="4" t="s">
        <v>1941</v>
      </c>
      <c r="B197" s="4" t="s">
        <v>1942</v>
      </c>
      <c r="C197" s="4">
        <v>16</v>
      </c>
    </row>
    <row r="198" spans="1:3">
      <c r="A198" s="4" t="s">
        <v>1939</v>
      </c>
      <c r="B198" s="4" t="s">
        <v>1940</v>
      </c>
      <c r="C198" s="4">
        <v>8.8</v>
      </c>
    </row>
    <row r="199" spans="1:3">
      <c r="A199" s="4" t="s">
        <v>1961</v>
      </c>
      <c r="B199" s="4" t="s">
        <v>1962</v>
      </c>
      <c r="C199" s="4">
        <v>58.8</v>
      </c>
    </row>
    <row r="200" spans="1:3">
      <c r="A200" s="4" t="s">
        <v>1965</v>
      </c>
      <c r="B200" s="4" t="s">
        <v>1966</v>
      </c>
      <c r="C200" s="4">
        <v>2.2</v>
      </c>
    </row>
    <row r="201" spans="1:3">
      <c r="A201" s="4" t="s">
        <v>1967</v>
      </c>
      <c r="B201" s="4" t="s">
        <v>1968</v>
      </c>
      <c r="C201" s="4">
        <v>518.8</v>
      </c>
    </row>
    <row r="202" spans="1:3">
      <c r="A202" s="4" t="s">
        <v>1987</v>
      </c>
      <c r="B202" s="4" t="s">
        <v>1988</v>
      </c>
      <c r="C202" s="4">
        <v>14.2</v>
      </c>
    </row>
    <row r="203" spans="1:3">
      <c r="A203" s="4" t="s">
        <v>1989</v>
      </c>
      <c r="B203" s="4" t="s">
        <v>1990</v>
      </c>
      <c r="C203" s="4">
        <v>342</v>
      </c>
    </row>
    <row r="204" spans="1:3">
      <c r="A204" s="5" t="s">
        <v>2051</v>
      </c>
      <c r="B204" s="5" t="s">
        <v>2052</v>
      </c>
      <c r="C204" s="5">
        <v>0.5</v>
      </c>
    </row>
    <row r="205" spans="1:3">
      <c r="A205" s="4" t="s">
        <v>2728</v>
      </c>
      <c r="B205" s="4" t="s">
        <v>2729</v>
      </c>
      <c r="C205" s="4">
        <v>18.8</v>
      </c>
    </row>
    <row r="206" spans="1:3">
      <c r="A206" s="4" t="s">
        <v>2133</v>
      </c>
      <c r="B206" s="4" t="s">
        <v>2134</v>
      </c>
      <c r="C206" s="4">
        <v>8.5</v>
      </c>
    </row>
    <row r="207" spans="1:3">
      <c r="A207" s="4" t="s">
        <v>2009</v>
      </c>
      <c r="B207" s="4" t="s">
        <v>2010</v>
      </c>
      <c r="C207" s="4">
        <v>55.2</v>
      </c>
    </row>
    <row r="208" spans="1:3">
      <c r="A208" s="4" t="s">
        <v>1999</v>
      </c>
      <c r="B208" s="4" t="s">
        <v>2000</v>
      </c>
      <c r="C208" s="4">
        <v>64</v>
      </c>
    </row>
    <row r="209" spans="1:3">
      <c r="A209" s="4" t="s">
        <v>1995</v>
      </c>
      <c r="B209" s="4" t="s">
        <v>1996</v>
      </c>
      <c r="C209" s="4">
        <v>4.5</v>
      </c>
    </row>
    <row r="210" spans="1:3">
      <c r="A210" s="4" t="s">
        <v>2005</v>
      </c>
      <c r="B210" s="4" t="s">
        <v>2006</v>
      </c>
      <c r="C210" s="4">
        <v>40.5</v>
      </c>
    </row>
    <row r="211" spans="1:3">
      <c r="A211" s="4" t="s">
        <v>2017</v>
      </c>
      <c r="B211" s="4" t="s">
        <v>2018</v>
      </c>
      <c r="C211" s="4">
        <v>44.5</v>
      </c>
    </row>
    <row r="212" spans="1:3">
      <c r="A212" s="4" t="s">
        <v>2041</v>
      </c>
      <c r="B212" s="4" t="s">
        <v>2042</v>
      </c>
      <c r="C212" s="4">
        <v>42.8</v>
      </c>
    </row>
    <row r="213" spans="1:3">
      <c r="A213" s="4" t="s">
        <v>2045</v>
      </c>
      <c r="B213" s="4" t="s">
        <v>2046</v>
      </c>
      <c r="C213" s="4">
        <v>4</v>
      </c>
    </row>
    <row r="214" spans="1:3">
      <c r="A214" s="5" t="s">
        <v>2053</v>
      </c>
      <c r="B214" s="5" t="s">
        <v>2054</v>
      </c>
      <c r="C214" s="5">
        <v>0.5</v>
      </c>
    </row>
    <row r="215" spans="1:3">
      <c r="A215" s="5" t="s">
        <v>2069</v>
      </c>
      <c r="B215" s="5" t="s">
        <v>2070</v>
      </c>
      <c r="C215" s="5">
        <v>0.2</v>
      </c>
    </row>
    <row r="216" spans="1:3">
      <c r="A216" s="4" t="s">
        <v>2073</v>
      </c>
      <c r="B216" s="4" t="s">
        <v>2074</v>
      </c>
      <c r="C216" s="4">
        <v>618.2</v>
      </c>
    </row>
    <row r="217" spans="1:3">
      <c r="A217" s="4" t="s">
        <v>2103</v>
      </c>
      <c r="B217" s="4" t="s">
        <v>2104</v>
      </c>
      <c r="C217" s="4">
        <v>4</v>
      </c>
    </row>
    <row r="218" spans="1:3">
      <c r="A218" s="5" t="s">
        <v>2117</v>
      </c>
      <c r="B218" s="5" t="s">
        <v>2118</v>
      </c>
      <c r="C218" s="5">
        <v>0.8</v>
      </c>
    </row>
    <row r="219" spans="1:3">
      <c r="A219" s="4" t="s">
        <v>2688</v>
      </c>
      <c r="B219" s="4" t="s">
        <v>2689</v>
      </c>
      <c r="C219" s="4">
        <v>15.2</v>
      </c>
    </row>
    <row r="220" spans="1:3">
      <c r="A220" s="4" t="s">
        <v>2121</v>
      </c>
      <c r="B220" s="4" t="s">
        <v>2122</v>
      </c>
      <c r="C220" s="4">
        <v>294</v>
      </c>
    </row>
    <row r="221" spans="1:3">
      <c r="A221" s="4" t="s">
        <v>2127</v>
      </c>
      <c r="B221" s="4" t="s">
        <v>2128</v>
      </c>
      <c r="C221" s="4">
        <v>9.5</v>
      </c>
    </row>
    <row r="222" spans="1:3">
      <c r="A222" s="4" t="s">
        <v>2125</v>
      </c>
      <c r="B222" s="4" t="s">
        <v>2126</v>
      </c>
      <c r="C222" s="4">
        <v>1</v>
      </c>
    </row>
    <row r="223" spans="1:3">
      <c r="A223" s="4" t="s">
        <v>2131</v>
      </c>
      <c r="B223" s="4" t="s">
        <v>2132</v>
      </c>
      <c r="C223" s="4">
        <v>102.5</v>
      </c>
    </row>
    <row r="224" spans="1:3">
      <c r="A224" s="4" t="s">
        <v>2135</v>
      </c>
      <c r="B224" s="4" t="s">
        <v>2136</v>
      </c>
      <c r="C224" s="4">
        <v>486.2</v>
      </c>
    </row>
    <row r="225" spans="1:3">
      <c r="A225" s="4" t="s">
        <v>2165</v>
      </c>
      <c r="B225" s="4" t="s">
        <v>2166</v>
      </c>
      <c r="C225" s="4">
        <v>1231.2</v>
      </c>
    </row>
    <row r="226" spans="1:3">
      <c r="A226" s="4" t="s">
        <v>2185</v>
      </c>
      <c r="B226" s="4" t="s">
        <v>2186</v>
      </c>
      <c r="C226" s="4">
        <v>136.5</v>
      </c>
    </row>
    <row r="227" spans="1:3">
      <c r="A227" s="4" t="s">
        <v>2187</v>
      </c>
      <c r="B227" s="4" t="s">
        <v>2188</v>
      </c>
      <c r="C227" s="4">
        <v>820.5</v>
      </c>
    </row>
    <row r="228" spans="1:3">
      <c r="A228" s="4" t="s">
        <v>2195</v>
      </c>
      <c r="B228" s="4" t="s">
        <v>2196</v>
      </c>
      <c r="C228" s="4">
        <v>91.5</v>
      </c>
    </row>
    <row r="229" spans="1:3">
      <c r="A229" s="4" t="s">
        <v>2269</v>
      </c>
      <c r="B229" s="4" t="s">
        <v>2270</v>
      </c>
      <c r="C229" s="4">
        <v>411</v>
      </c>
    </row>
    <row r="230" spans="1:3">
      <c r="A230" s="4" t="s">
        <v>2690</v>
      </c>
      <c r="B230" s="4" t="s">
        <v>2691</v>
      </c>
      <c r="C230" s="4">
        <v>3</v>
      </c>
    </row>
    <row r="231" spans="1:3">
      <c r="A231" s="4" t="s">
        <v>2231</v>
      </c>
      <c r="B231" s="4" t="s">
        <v>2232</v>
      </c>
      <c r="C231" s="4">
        <v>1.5</v>
      </c>
    </row>
    <row r="232" spans="1:3">
      <c r="A232" s="4" t="s">
        <v>2233</v>
      </c>
      <c r="B232" s="4" t="s">
        <v>2234</v>
      </c>
      <c r="C232" s="4">
        <v>17.2</v>
      </c>
    </row>
    <row r="233" spans="1:3">
      <c r="A233" s="4" t="s">
        <v>2235</v>
      </c>
      <c r="B233" s="4" t="s">
        <v>2236</v>
      </c>
      <c r="C233" s="4">
        <v>54</v>
      </c>
    </row>
    <row r="234" spans="1:3">
      <c r="A234" s="5" t="s">
        <v>2243</v>
      </c>
      <c r="B234" s="5" t="s">
        <v>2244</v>
      </c>
      <c r="C234" s="5">
        <v>0.2</v>
      </c>
    </row>
    <row r="235" spans="1:3">
      <c r="A235" s="4" t="s">
        <v>2257</v>
      </c>
      <c r="B235" s="4" t="s">
        <v>2258</v>
      </c>
      <c r="C235" s="4">
        <v>116</v>
      </c>
    </row>
    <row r="236" spans="1:3">
      <c r="A236" s="4" t="s">
        <v>2259</v>
      </c>
      <c r="B236" s="4" t="s">
        <v>2260</v>
      </c>
      <c r="C236" s="4">
        <v>30.2</v>
      </c>
    </row>
    <row r="237" spans="1:3">
      <c r="A237" s="4" t="s">
        <v>2730</v>
      </c>
      <c r="B237" s="4" t="s">
        <v>2731</v>
      </c>
      <c r="C237" s="4">
        <v>-1.2</v>
      </c>
    </row>
    <row r="238" spans="1:3">
      <c r="A238" s="4" t="s">
        <v>2275</v>
      </c>
      <c r="B238" s="4" t="s">
        <v>2276</v>
      </c>
      <c r="C238" s="4">
        <v>243.8</v>
      </c>
    </row>
    <row r="239" spans="1:3">
      <c r="A239" s="4" t="s">
        <v>2281</v>
      </c>
      <c r="B239" s="4" t="s">
        <v>2282</v>
      </c>
      <c r="C239" s="4">
        <v>27</v>
      </c>
    </row>
    <row r="240" spans="1:3">
      <c r="A240" s="4" t="s">
        <v>2303</v>
      </c>
      <c r="B240" s="4" t="s">
        <v>2304</v>
      </c>
      <c r="C240" s="4">
        <v>261.8</v>
      </c>
    </row>
    <row r="241" spans="1:3">
      <c r="A241" s="5" t="s">
        <v>2309</v>
      </c>
      <c r="B241" s="5" t="s">
        <v>2310</v>
      </c>
      <c r="C241" s="5">
        <v>0</v>
      </c>
    </row>
    <row r="242" spans="1:3">
      <c r="A242" s="4" t="s">
        <v>2311</v>
      </c>
      <c r="B242" s="4" t="s">
        <v>2312</v>
      </c>
      <c r="C242" s="4">
        <v>2.8</v>
      </c>
    </row>
    <row r="243" spans="1:3">
      <c r="A243" s="4" t="s">
        <v>2692</v>
      </c>
      <c r="B243" s="4" t="s">
        <v>2693</v>
      </c>
      <c r="C243" s="4">
        <v>103.5</v>
      </c>
    </row>
    <row r="244" spans="1:3">
      <c r="A244" s="4" t="s">
        <v>2333</v>
      </c>
      <c r="B244" s="4" t="s">
        <v>2334</v>
      </c>
      <c r="C244" s="4">
        <v>8</v>
      </c>
    </row>
    <row r="245" spans="1:3">
      <c r="A245" s="4" t="s">
        <v>2341</v>
      </c>
      <c r="B245" s="4" t="s">
        <v>2342</v>
      </c>
      <c r="C245" s="4">
        <v>146</v>
      </c>
    </row>
    <row r="246" spans="1:3">
      <c r="A246" s="4" t="s">
        <v>2337</v>
      </c>
      <c r="B246" s="4" t="s">
        <v>2338</v>
      </c>
      <c r="C246" s="4">
        <v>3.5</v>
      </c>
    </row>
    <row r="247" spans="1:3">
      <c r="A247" s="4" t="s">
        <v>2355</v>
      </c>
      <c r="B247" s="4" t="s">
        <v>2356</v>
      </c>
      <c r="C247" s="4">
        <v>8.8</v>
      </c>
    </row>
    <row r="248" spans="1:3">
      <c r="A248" s="4" t="s">
        <v>2377</v>
      </c>
      <c r="B248" s="4" t="s">
        <v>2378</v>
      </c>
      <c r="C248" s="4">
        <v>10.5</v>
      </c>
    </row>
    <row r="249" spans="1:3">
      <c r="A249" s="4" t="s">
        <v>2421</v>
      </c>
      <c r="B249" s="4" t="s">
        <v>2422</v>
      </c>
      <c r="C249" s="4">
        <v>9.2</v>
      </c>
    </row>
    <row r="250" spans="1:3">
      <c r="A250" s="4" t="s">
        <v>2385</v>
      </c>
      <c r="B250" s="4" t="s">
        <v>2386</v>
      </c>
      <c r="C250" s="4">
        <v>152</v>
      </c>
    </row>
    <row r="251" spans="1:3">
      <c r="A251" s="4" t="s">
        <v>2415</v>
      </c>
      <c r="B251" s="4" t="s">
        <v>2416</v>
      </c>
      <c r="C251" s="4">
        <v>2.5</v>
      </c>
    </row>
    <row r="252" spans="1:3">
      <c r="A252" s="4" t="s">
        <v>2411</v>
      </c>
      <c r="B252" s="4" t="s">
        <v>2412</v>
      </c>
      <c r="C252" s="4">
        <v>14.5</v>
      </c>
    </row>
    <row r="253" spans="1:3">
      <c r="A253" s="4" t="s">
        <v>2491</v>
      </c>
      <c r="B253" s="4" t="s">
        <v>2492</v>
      </c>
      <c r="C253" s="4">
        <v>231.8</v>
      </c>
    </row>
    <row r="254" spans="1:3">
      <c r="A254" s="4" t="s">
        <v>2694</v>
      </c>
      <c r="B254" s="4" t="s">
        <v>2695</v>
      </c>
      <c r="C254" s="4">
        <v>5.5</v>
      </c>
    </row>
    <row r="255" spans="1:3">
      <c r="A255" s="5" t="s">
        <v>2437</v>
      </c>
      <c r="B255" s="5" t="s">
        <v>2438</v>
      </c>
      <c r="C255" s="5">
        <v>0.2</v>
      </c>
    </row>
    <row r="256" spans="1:3">
      <c r="A256" s="4" t="s">
        <v>2445</v>
      </c>
      <c r="B256" s="4" t="s">
        <v>2446</v>
      </c>
      <c r="C256" s="4">
        <v>33.5</v>
      </c>
    </row>
    <row r="257" spans="1:3">
      <c r="A257" s="4" t="s">
        <v>2487</v>
      </c>
      <c r="B257" s="4" t="s">
        <v>2488</v>
      </c>
      <c r="C257" s="4">
        <v>13</v>
      </c>
    </row>
    <row r="258" spans="1:3">
      <c r="A258" s="4" t="s">
        <v>2509</v>
      </c>
      <c r="B258" s="4" t="s">
        <v>2510</v>
      </c>
      <c r="C258" s="4">
        <v>36</v>
      </c>
    </row>
    <row r="259" spans="1:3">
      <c r="A259" s="5" t="s">
        <v>2732</v>
      </c>
      <c r="B259" s="5" t="s">
        <v>2733</v>
      </c>
      <c r="C259" s="5">
        <v>0.2</v>
      </c>
    </row>
    <row r="260" spans="1:3">
      <c r="A260" s="4" t="s">
        <v>2523</v>
      </c>
      <c r="B260" s="4" t="s">
        <v>2524</v>
      </c>
      <c r="C260" s="4">
        <v>38.2</v>
      </c>
    </row>
    <row r="261" spans="1:3">
      <c r="A261" s="4" t="s">
        <v>2521</v>
      </c>
      <c r="B261" s="4" t="s">
        <v>2522</v>
      </c>
      <c r="C261" s="4">
        <v>384.8</v>
      </c>
    </row>
    <row r="262" spans="1:3">
      <c r="A262" s="5" t="s">
        <v>1047</v>
      </c>
      <c r="B262" s="5" t="s">
        <v>1048</v>
      </c>
      <c r="C262" s="5">
        <v>0.8</v>
      </c>
    </row>
    <row r="263" spans="1:3">
      <c r="A263" s="4" t="s">
        <v>1049</v>
      </c>
      <c r="B263" s="4" t="s">
        <v>1050</v>
      </c>
      <c r="C263" s="4">
        <v>65.2</v>
      </c>
    </row>
    <row r="264" spans="1:3">
      <c r="A264" s="4" t="s">
        <v>1053</v>
      </c>
      <c r="B264" s="4" t="s">
        <v>1054</v>
      </c>
      <c r="C264" s="4">
        <v>16.2</v>
      </c>
    </row>
    <row r="265" spans="1:3">
      <c r="A265" s="4" t="s">
        <v>2734</v>
      </c>
      <c r="B265" s="4" t="s">
        <v>2735</v>
      </c>
      <c r="C265" s="4">
        <v>2.2</v>
      </c>
    </row>
    <row r="266" spans="1:3">
      <c r="A266" s="4" t="s">
        <v>2527</v>
      </c>
      <c r="B266" s="4" t="s">
        <v>2528</v>
      </c>
      <c r="C266" s="4">
        <v>5.2</v>
      </c>
    </row>
    <row r="267" spans="1:3">
      <c r="A267" s="4" t="s">
        <v>2589</v>
      </c>
      <c r="B267" s="4" t="s">
        <v>2590</v>
      </c>
      <c r="C267" s="4">
        <v>2.5</v>
      </c>
    </row>
    <row r="268" spans="1:3">
      <c r="A268" s="4" t="s">
        <v>2595</v>
      </c>
      <c r="B268" s="4" t="s">
        <v>2596</v>
      </c>
      <c r="C268" s="4">
        <v>3</v>
      </c>
    </row>
    <row r="269" spans="1:3">
      <c r="A269" s="5" t="s">
        <v>2611</v>
      </c>
      <c r="B269" s="5" t="s">
        <v>2612</v>
      </c>
      <c r="C269" s="5">
        <v>0.2</v>
      </c>
    </row>
    <row r="270" spans="1:3">
      <c r="A270" s="5" t="s">
        <v>2651</v>
      </c>
      <c r="B270" s="5" t="s">
        <v>2652</v>
      </c>
      <c r="C270" s="5">
        <v>0.5</v>
      </c>
    </row>
    <row r="271" spans="1:3">
      <c r="A271" s="4" t="s">
        <v>2623</v>
      </c>
      <c r="B271" s="4" t="s">
        <v>2624</v>
      </c>
      <c r="C271" s="4">
        <v>39</v>
      </c>
    </row>
    <row r="272" spans="1:3">
      <c r="A272" s="4" t="s">
        <v>2633</v>
      </c>
      <c r="B272" s="4" t="s">
        <v>2634</v>
      </c>
      <c r="C272" s="4">
        <v>5.2</v>
      </c>
    </row>
    <row r="273" spans="1:3">
      <c r="A273" s="4" t="s">
        <v>2635</v>
      </c>
      <c r="B273" s="4" t="s">
        <v>2636</v>
      </c>
      <c r="C273" s="4">
        <v>18.8</v>
      </c>
    </row>
    <row r="274" spans="1:3">
      <c r="A274" s="4" t="s">
        <v>2639</v>
      </c>
      <c r="B274" s="4" t="s">
        <v>2640</v>
      </c>
      <c r="C274" s="4">
        <v>53.5</v>
      </c>
    </row>
    <row r="275" spans="1:3">
      <c r="A275" s="5" t="s">
        <v>2645</v>
      </c>
      <c r="B275" s="5" t="s">
        <v>2646</v>
      </c>
      <c r="C275" s="5">
        <v>0.5</v>
      </c>
    </row>
    <row r="276" spans="1:3">
      <c r="A276" s="4" t="s">
        <v>2647</v>
      </c>
      <c r="B276" s="4" t="s">
        <v>2648</v>
      </c>
      <c r="C276" s="4">
        <v>3.2</v>
      </c>
    </row>
    <row r="277" spans="1:3">
      <c r="A277" s="4" t="s">
        <v>2657</v>
      </c>
      <c r="B277" s="4" t="s">
        <v>2658</v>
      </c>
      <c r="C277" s="4">
        <v>19.2</v>
      </c>
    </row>
    <row r="278" spans="1:3">
      <c r="A278" s="4" t="s">
        <v>2661</v>
      </c>
      <c r="B278" s="4" t="s">
        <v>2662</v>
      </c>
      <c r="C278" s="4">
        <v>1.8</v>
      </c>
    </row>
    <row r="279" spans="1:3">
      <c r="A279" s="4" t="s">
        <v>2665</v>
      </c>
      <c r="B279" s="4" t="s">
        <v>2666</v>
      </c>
      <c r="C279" s="4">
        <v>7.2</v>
      </c>
    </row>
    <row r="280" spans="1:3">
      <c r="A280" s="4" t="s">
        <v>19</v>
      </c>
      <c r="B280" s="4" t="s">
        <v>20</v>
      </c>
      <c r="C280" s="4">
        <v>280</v>
      </c>
    </row>
    <row r="281" spans="1:3">
      <c r="A281" s="4" t="s">
        <v>11</v>
      </c>
      <c r="B281" s="4" t="s">
        <v>12</v>
      </c>
      <c r="C281" s="4">
        <v>91.8</v>
      </c>
    </row>
    <row r="282" spans="1:3">
      <c r="A282" s="4" t="s">
        <v>41</v>
      </c>
      <c r="B282" s="4" t="s">
        <v>42</v>
      </c>
      <c r="C282" s="4">
        <v>535.8</v>
      </c>
    </row>
    <row r="283" spans="1:3">
      <c r="A283" s="4" t="s">
        <v>67</v>
      </c>
      <c r="B283" s="4" t="s">
        <v>68</v>
      </c>
      <c r="C283" s="4">
        <v>19.5</v>
      </c>
    </row>
    <row r="284" spans="1:3">
      <c r="A284" s="4" t="s">
        <v>69</v>
      </c>
      <c r="B284" s="4" t="s">
        <v>70</v>
      </c>
      <c r="C284" s="4">
        <v>3.2</v>
      </c>
    </row>
    <row r="285" spans="1:3">
      <c r="A285" s="4" t="s">
        <v>85</v>
      </c>
      <c r="B285" s="4" t="s">
        <v>86</v>
      </c>
      <c r="C285" s="4">
        <v>26</v>
      </c>
    </row>
    <row r="286" spans="1:3">
      <c r="A286" s="4" t="s">
        <v>135</v>
      </c>
      <c r="B286" s="4" t="s">
        <v>136</v>
      </c>
      <c r="C286" s="4">
        <v>65</v>
      </c>
    </row>
    <row r="287" spans="1:3">
      <c r="A287" s="4" t="s">
        <v>231</v>
      </c>
      <c r="B287" s="4" t="s">
        <v>232</v>
      </c>
      <c r="C287" s="4">
        <v>196</v>
      </c>
    </row>
    <row r="288" spans="1:3">
      <c r="A288" s="4" t="s">
        <v>9</v>
      </c>
      <c r="B288" s="4" t="s">
        <v>10</v>
      </c>
      <c r="C288" s="4">
        <v>114</v>
      </c>
    </row>
    <row r="289" spans="1:3">
      <c r="A289" s="4" t="s">
        <v>17</v>
      </c>
      <c r="B289" s="4" t="s">
        <v>18</v>
      </c>
      <c r="C289" s="4">
        <v>230.2</v>
      </c>
    </row>
    <row r="290" spans="1:3">
      <c r="A290" s="4" t="s">
        <v>27</v>
      </c>
      <c r="B290" s="4" t="s">
        <v>28</v>
      </c>
      <c r="C290" s="4">
        <v>124.8</v>
      </c>
    </row>
    <row r="291" spans="1:3">
      <c r="A291" s="4" t="s">
        <v>29</v>
      </c>
      <c r="B291" s="4" t="s">
        <v>30</v>
      </c>
      <c r="C291" s="4">
        <v>7.2</v>
      </c>
    </row>
    <row r="292" spans="1:3">
      <c r="A292" s="4" t="s">
        <v>45</v>
      </c>
      <c r="B292" s="4" t="s">
        <v>2674</v>
      </c>
      <c r="C292" s="4">
        <v>3445.2</v>
      </c>
    </row>
    <row r="293" spans="1:3">
      <c r="A293" s="4" t="s">
        <v>37</v>
      </c>
      <c r="B293" s="4" t="s">
        <v>38</v>
      </c>
      <c r="C293" s="4">
        <v>39</v>
      </c>
    </row>
    <row r="294" spans="1:3">
      <c r="A294" s="4" t="s">
        <v>51</v>
      </c>
      <c r="B294" s="4" t="s">
        <v>52</v>
      </c>
      <c r="C294" s="4">
        <v>81.2</v>
      </c>
    </row>
    <row r="295" spans="1:3">
      <c r="A295" s="4" t="s">
        <v>65</v>
      </c>
      <c r="B295" s="4" t="s">
        <v>66</v>
      </c>
      <c r="C295" s="4">
        <v>9</v>
      </c>
    </row>
    <row r="296" spans="1:3">
      <c r="A296" s="4" t="s">
        <v>73</v>
      </c>
      <c r="B296" s="4" t="s">
        <v>74</v>
      </c>
      <c r="C296" s="4">
        <v>2</v>
      </c>
    </row>
    <row r="297" spans="1:3">
      <c r="A297" s="4" t="s">
        <v>87</v>
      </c>
      <c r="B297" s="4" t="s">
        <v>88</v>
      </c>
      <c r="C297" s="4">
        <v>16</v>
      </c>
    </row>
    <row r="298" spans="1:3">
      <c r="A298" s="5" t="s">
        <v>107</v>
      </c>
      <c r="B298" s="5" t="s">
        <v>108</v>
      </c>
      <c r="C298" s="5">
        <v>0.5</v>
      </c>
    </row>
    <row r="299" spans="1:3">
      <c r="A299" s="4" t="s">
        <v>111</v>
      </c>
      <c r="B299" s="4" t="s">
        <v>112</v>
      </c>
      <c r="C299" s="4">
        <v>348.5</v>
      </c>
    </row>
    <row r="300" spans="1:3">
      <c r="A300" s="4" t="s">
        <v>117</v>
      </c>
      <c r="B300" s="4" t="s">
        <v>118</v>
      </c>
      <c r="C300" s="4">
        <v>532</v>
      </c>
    </row>
    <row r="301" spans="1:3">
      <c r="A301" s="4" t="s">
        <v>123</v>
      </c>
      <c r="B301" s="4" t="s">
        <v>124</v>
      </c>
      <c r="C301" s="4">
        <v>633.8</v>
      </c>
    </row>
    <row r="302" spans="1:3">
      <c r="A302" s="4" t="s">
        <v>129</v>
      </c>
      <c r="B302" s="4" t="s">
        <v>130</v>
      </c>
      <c r="C302" s="4">
        <v>36.2</v>
      </c>
    </row>
    <row r="303" spans="1:3">
      <c r="A303" s="4" t="s">
        <v>133</v>
      </c>
      <c r="B303" s="4" t="s">
        <v>134</v>
      </c>
      <c r="C303" s="4">
        <v>131</v>
      </c>
    </row>
    <row r="304" spans="1:3">
      <c r="A304" s="4" t="s">
        <v>139</v>
      </c>
      <c r="B304" s="4" t="s">
        <v>140</v>
      </c>
      <c r="C304" s="4">
        <v>64.8</v>
      </c>
    </row>
    <row r="305" spans="1:3">
      <c r="A305" s="4" t="s">
        <v>147</v>
      </c>
      <c r="B305" s="4" t="s">
        <v>148</v>
      </c>
      <c r="C305" s="4">
        <v>41.2</v>
      </c>
    </row>
    <row r="306" spans="1:3">
      <c r="A306" s="4" t="s">
        <v>151</v>
      </c>
      <c r="B306" s="4" t="s">
        <v>152</v>
      </c>
      <c r="C306" s="4">
        <v>133</v>
      </c>
    </row>
    <row r="307" spans="1:3">
      <c r="A307" s="4" t="s">
        <v>157</v>
      </c>
      <c r="B307" s="4" t="s">
        <v>158</v>
      </c>
      <c r="C307" s="4">
        <v>11.5</v>
      </c>
    </row>
    <row r="308" spans="1:3">
      <c r="A308" s="4" t="s">
        <v>159</v>
      </c>
      <c r="B308" s="4" t="s">
        <v>160</v>
      </c>
      <c r="C308" s="4">
        <v>2.8</v>
      </c>
    </row>
    <row r="309" spans="1:3">
      <c r="A309" s="4" t="s">
        <v>181</v>
      </c>
      <c r="B309" s="4" t="s">
        <v>182</v>
      </c>
      <c r="C309" s="4">
        <v>314.2</v>
      </c>
    </row>
    <row r="310" spans="1:3">
      <c r="A310" s="4" t="s">
        <v>191</v>
      </c>
      <c r="B310" s="4" t="s">
        <v>192</v>
      </c>
      <c r="C310" s="4">
        <v>14</v>
      </c>
    </row>
    <row r="311" spans="1:3">
      <c r="A311" s="4" t="s">
        <v>195</v>
      </c>
      <c r="B311" s="4" t="s">
        <v>196</v>
      </c>
      <c r="C311" s="4">
        <v>74</v>
      </c>
    </row>
    <row r="312" spans="1:3">
      <c r="A312" s="4" t="s">
        <v>199</v>
      </c>
      <c r="B312" s="4" t="s">
        <v>200</v>
      </c>
      <c r="C312" s="4">
        <v>45.2</v>
      </c>
    </row>
    <row r="313" spans="1:3">
      <c r="A313" s="4" t="s">
        <v>203</v>
      </c>
      <c r="B313" s="4" t="s">
        <v>204</v>
      </c>
      <c r="C313" s="4">
        <v>5.8</v>
      </c>
    </row>
    <row r="314" spans="1:3">
      <c r="A314" s="4" t="s">
        <v>207</v>
      </c>
      <c r="B314" s="4" t="s">
        <v>208</v>
      </c>
      <c r="C314" s="4">
        <v>52.2</v>
      </c>
    </row>
    <row r="315" spans="1:3">
      <c r="A315" s="4" t="s">
        <v>209</v>
      </c>
      <c r="B315" s="4" t="s">
        <v>210</v>
      </c>
      <c r="C315" s="4">
        <v>7.5</v>
      </c>
    </row>
    <row r="316" spans="1:3">
      <c r="A316" s="4" t="s">
        <v>219</v>
      </c>
      <c r="B316" s="4" t="s">
        <v>220</v>
      </c>
      <c r="C316" s="4">
        <v>58.2</v>
      </c>
    </row>
    <row r="317" spans="1:3">
      <c r="A317" s="4" t="s">
        <v>223</v>
      </c>
      <c r="B317" s="4" t="s">
        <v>224</v>
      </c>
      <c r="C317" s="4">
        <v>12</v>
      </c>
    </row>
    <row r="318" spans="1:3">
      <c r="A318" s="4" t="s">
        <v>225</v>
      </c>
      <c r="B318" s="4" t="s">
        <v>226</v>
      </c>
      <c r="C318" s="4">
        <v>44</v>
      </c>
    </row>
    <row r="319" spans="1:3">
      <c r="A319" s="4" t="s">
        <v>229</v>
      </c>
      <c r="B319" s="4" t="s">
        <v>230</v>
      </c>
      <c r="C319" s="4">
        <v>304.5</v>
      </c>
    </row>
    <row r="320" spans="1:3">
      <c r="A320" s="4" t="s">
        <v>245</v>
      </c>
      <c r="B320" s="4" t="s">
        <v>246</v>
      </c>
      <c r="C320" s="4">
        <v>14</v>
      </c>
    </row>
    <row r="321" spans="1:3">
      <c r="A321" s="4" t="s">
        <v>247</v>
      </c>
      <c r="B321" s="4" t="s">
        <v>248</v>
      </c>
      <c r="C321" s="4">
        <v>100</v>
      </c>
    </row>
    <row r="322" spans="1:3">
      <c r="A322" s="4" t="s">
        <v>261</v>
      </c>
      <c r="B322" s="4" t="s">
        <v>262</v>
      </c>
      <c r="C322" s="4">
        <v>8.2</v>
      </c>
    </row>
    <row r="323" spans="1:3">
      <c r="A323" s="4" t="s">
        <v>287</v>
      </c>
      <c r="B323" s="4" t="s">
        <v>288</v>
      </c>
      <c r="C323" s="4">
        <v>14</v>
      </c>
    </row>
    <row r="324" spans="1:3">
      <c r="A324" s="4" t="s">
        <v>285</v>
      </c>
      <c r="B324" s="4" t="s">
        <v>286</v>
      </c>
      <c r="C324" s="4">
        <v>37</v>
      </c>
    </row>
    <row r="325" spans="1:3">
      <c r="A325" s="4" t="s">
        <v>329</v>
      </c>
      <c r="B325" s="4" t="s">
        <v>330</v>
      </c>
      <c r="C325" s="4">
        <v>27.5</v>
      </c>
    </row>
    <row r="326" spans="1:3">
      <c r="A326" s="4" t="s">
        <v>347</v>
      </c>
      <c r="B326" s="4" t="s">
        <v>348</v>
      </c>
      <c r="C326" s="4">
        <v>63.5</v>
      </c>
    </row>
    <row r="327" spans="1:3">
      <c r="A327" s="4" t="s">
        <v>257</v>
      </c>
      <c r="B327" s="4" t="s">
        <v>258</v>
      </c>
      <c r="C327" s="4">
        <v>201.8</v>
      </c>
    </row>
    <row r="328" spans="1:3">
      <c r="A328" s="4" t="s">
        <v>259</v>
      </c>
      <c r="B328" s="4" t="s">
        <v>260</v>
      </c>
      <c r="C328" s="4">
        <v>134</v>
      </c>
    </row>
    <row r="329" spans="1:3">
      <c r="A329" s="4" t="s">
        <v>265</v>
      </c>
      <c r="B329" s="4" t="s">
        <v>266</v>
      </c>
      <c r="C329" s="4">
        <v>81.8</v>
      </c>
    </row>
    <row r="330" spans="1:3">
      <c r="A330" s="4" t="s">
        <v>267</v>
      </c>
      <c r="B330" s="4" t="s">
        <v>268</v>
      </c>
      <c r="C330" s="4">
        <v>144.5</v>
      </c>
    </row>
    <row r="331" spans="1:3">
      <c r="A331" s="4" t="s">
        <v>283</v>
      </c>
      <c r="B331" s="4" t="s">
        <v>284</v>
      </c>
      <c r="C331" s="4">
        <v>37.2</v>
      </c>
    </row>
    <row r="332" spans="1:3">
      <c r="A332" s="4" t="s">
        <v>303</v>
      </c>
      <c r="B332" s="4" t="s">
        <v>304</v>
      </c>
      <c r="C332" s="4">
        <v>88.2</v>
      </c>
    </row>
    <row r="333" spans="1:3">
      <c r="A333" s="4" t="s">
        <v>307</v>
      </c>
      <c r="B333" s="4" t="s">
        <v>308</v>
      </c>
      <c r="C333" s="4">
        <v>411.5</v>
      </c>
    </row>
    <row r="334" spans="1:3">
      <c r="A334" s="4" t="s">
        <v>311</v>
      </c>
      <c r="B334" s="4" t="s">
        <v>312</v>
      </c>
      <c r="C334" s="4">
        <v>604.8</v>
      </c>
    </row>
    <row r="335" spans="1:3">
      <c r="A335" s="4" t="s">
        <v>309</v>
      </c>
      <c r="B335" s="4" t="s">
        <v>310</v>
      </c>
      <c r="C335" s="4">
        <v>10.2</v>
      </c>
    </row>
    <row r="336" spans="1:3">
      <c r="A336" s="4" t="s">
        <v>313</v>
      </c>
      <c r="B336" s="4" t="s">
        <v>314</v>
      </c>
      <c r="C336" s="4">
        <v>422.2</v>
      </c>
    </row>
    <row r="337" spans="1:3">
      <c r="A337" s="4" t="s">
        <v>323</v>
      </c>
      <c r="B337" s="4" t="s">
        <v>324</v>
      </c>
      <c r="C337" s="4">
        <v>360.2</v>
      </c>
    </row>
    <row r="338" spans="1:3">
      <c r="A338" s="4" t="s">
        <v>317</v>
      </c>
      <c r="B338" s="4" t="s">
        <v>318</v>
      </c>
      <c r="C338" s="4">
        <v>82.2</v>
      </c>
    </row>
    <row r="339" spans="1:3">
      <c r="A339" s="4" t="s">
        <v>327</v>
      </c>
      <c r="B339" s="4" t="s">
        <v>328</v>
      </c>
      <c r="C339" s="4">
        <v>817</v>
      </c>
    </row>
    <row r="340" spans="1:3">
      <c r="A340" s="4" t="s">
        <v>325</v>
      </c>
      <c r="B340" s="4" t="s">
        <v>326</v>
      </c>
      <c r="C340" s="4">
        <v>332.2</v>
      </c>
    </row>
    <row r="341" spans="1:3">
      <c r="A341" s="4" t="s">
        <v>333</v>
      </c>
      <c r="B341" s="4" t="s">
        <v>334</v>
      </c>
      <c r="C341" s="4">
        <v>864.2</v>
      </c>
    </row>
    <row r="342" spans="1:3">
      <c r="A342" s="4" t="s">
        <v>341</v>
      </c>
      <c r="B342" s="4" t="s">
        <v>342</v>
      </c>
      <c r="C342" s="4">
        <v>14.8</v>
      </c>
    </row>
    <row r="343" spans="1:3">
      <c r="A343" s="4" t="s">
        <v>349</v>
      </c>
      <c r="B343" s="4" t="s">
        <v>350</v>
      </c>
      <c r="C343" s="4">
        <v>101.8</v>
      </c>
    </row>
    <row r="344" spans="1:3">
      <c r="A344" s="4" t="s">
        <v>351</v>
      </c>
      <c r="B344" s="4" t="s">
        <v>352</v>
      </c>
      <c r="C344" s="4">
        <v>7.5</v>
      </c>
    </row>
    <row r="345" spans="1:3">
      <c r="A345" s="4" t="s">
        <v>355</v>
      </c>
      <c r="B345" s="4" t="s">
        <v>356</v>
      </c>
      <c r="C345" s="4">
        <v>1069.2</v>
      </c>
    </row>
    <row r="346" spans="1:3">
      <c r="A346" s="4" t="s">
        <v>367</v>
      </c>
      <c r="B346" s="4" t="s">
        <v>368</v>
      </c>
      <c r="C346" s="4">
        <v>303</v>
      </c>
    </row>
    <row r="347" spans="1:3">
      <c r="A347" s="4" t="s">
        <v>371</v>
      </c>
      <c r="B347" s="4" t="s">
        <v>372</v>
      </c>
      <c r="C347" s="4">
        <v>74</v>
      </c>
    </row>
    <row r="348" spans="1:3">
      <c r="A348" s="4" t="s">
        <v>423</v>
      </c>
      <c r="B348" s="4" t="s">
        <v>424</v>
      </c>
      <c r="C348" s="4">
        <v>83.2</v>
      </c>
    </row>
    <row r="349" spans="1:3">
      <c r="A349" s="4" t="s">
        <v>521</v>
      </c>
      <c r="B349" s="4" t="s">
        <v>522</v>
      </c>
      <c r="C349" s="4">
        <v>3</v>
      </c>
    </row>
    <row r="350" spans="1:3">
      <c r="A350" s="4" t="s">
        <v>525</v>
      </c>
      <c r="B350" s="4" t="s">
        <v>526</v>
      </c>
      <c r="C350" s="4">
        <v>2</v>
      </c>
    </row>
    <row r="351" spans="1:3">
      <c r="A351" s="4" t="s">
        <v>515</v>
      </c>
      <c r="B351" s="4" t="s">
        <v>516</v>
      </c>
      <c r="C351" s="4">
        <v>300</v>
      </c>
    </row>
    <row r="352" spans="1:3">
      <c r="A352" s="4" t="s">
        <v>369</v>
      </c>
      <c r="B352" s="4" t="s">
        <v>370</v>
      </c>
      <c r="C352" s="4">
        <v>1.2</v>
      </c>
    </row>
    <row r="353" spans="1:3">
      <c r="A353" s="4" t="s">
        <v>381</v>
      </c>
      <c r="B353" s="4" t="s">
        <v>382</v>
      </c>
      <c r="C353" s="4">
        <v>3.2</v>
      </c>
    </row>
    <row r="354" spans="1:3">
      <c r="A354" s="4" t="s">
        <v>391</v>
      </c>
      <c r="B354" s="4" t="s">
        <v>392</v>
      </c>
      <c r="C354" s="4">
        <v>30.2</v>
      </c>
    </row>
    <row r="355" spans="1:3">
      <c r="A355" s="4" t="s">
        <v>397</v>
      </c>
      <c r="B355" s="4" t="s">
        <v>398</v>
      </c>
      <c r="C355" s="4">
        <v>38.8</v>
      </c>
    </row>
    <row r="356" spans="1:3">
      <c r="A356" s="4" t="s">
        <v>399</v>
      </c>
      <c r="B356" s="4" t="s">
        <v>400</v>
      </c>
      <c r="C356" s="4">
        <v>16</v>
      </c>
    </row>
    <row r="357" spans="1:3">
      <c r="A357" s="4" t="s">
        <v>389</v>
      </c>
      <c r="B357" s="4" t="s">
        <v>390</v>
      </c>
      <c r="C357" s="4">
        <v>300.5</v>
      </c>
    </row>
    <row r="358" spans="1:3">
      <c r="A358" s="4" t="s">
        <v>387</v>
      </c>
      <c r="B358" s="4" t="s">
        <v>388</v>
      </c>
      <c r="C358" s="4">
        <v>133.8</v>
      </c>
    </row>
    <row r="359" spans="1:3">
      <c r="A359" s="4" t="s">
        <v>403</v>
      </c>
      <c r="B359" s="4" t="s">
        <v>404</v>
      </c>
      <c r="C359" s="4">
        <v>8.2</v>
      </c>
    </row>
    <row r="360" spans="1:3">
      <c r="A360" s="4" t="s">
        <v>407</v>
      </c>
      <c r="B360" s="4" t="s">
        <v>408</v>
      </c>
      <c r="C360" s="4">
        <v>39.5</v>
      </c>
    </row>
    <row r="361" spans="1:3">
      <c r="A361" s="4" t="s">
        <v>409</v>
      </c>
      <c r="B361" s="4" t="s">
        <v>410</v>
      </c>
      <c r="C361" s="4">
        <v>31.8</v>
      </c>
    </row>
    <row r="362" spans="1:3">
      <c r="A362" s="4" t="s">
        <v>415</v>
      </c>
      <c r="B362" s="4" t="s">
        <v>416</v>
      </c>
      <c r="C362" s="4">
        <v>437.8</v>
      </c>
    </row>
    <row r="363" spans="1:3">
      <c r="A363" s="4" t="s">
        <v>421</v>
      </c>
      <c r="B363" s="4" t="s">
        <v>422</v>
      </c>
      <c r="C363" s="4">
        <v>1005.5</v>
      </c>
    </row>
    <row r="364" spans="1:3">
      <c r="A364" s="4" t="s">
        <v>419</v>
      </c>
      <c r="B364" s="4" t="s">
        <v>420</v>
      </c>
      <c r="C364" s="4">
        <v>124.8</v>
      </c>
    </row>
    <row r="365" spans="1:3">
      <c r="A365" s="4" t="s">
        <v>427</v>
      </c>
      <c r="B365" s="4" t="s">
        <v>428</v>
      </c>
      <c r="C365" s="4">
        <v>1487.5</v>
      </c>
    </row>
    <row r="366" spans="1:3">
      <c r="A366" s="4" t="s">
        <v>425</v>
      </c>
      <c r="B366" s="4" t="s">
        <v>426</v>
      </c>
      <c r="C366" s="4">
        <v>41.8</v>
      </c>
    </row>
    <row r="367" spans="1:3">
      <c r="A367" s="4" t="s">
        <v>437</v>
      </c>
      <c r="B367" s="4" t="s">
        <v>438</v>
      </c>
      <c r="C367" s="4">
        <v>753</v>
      </c>
    </row>
    <row r="368" spans="1:3">
      <c r="A368" s="4" t="s">
        <v>453</v>
      </c>
      <c r="B368" s="4" t="s">
        <v>454</v>
      </c>
      <c r="C368" s="4">
        <v>3.2</v>
      </c>
    </row>
    <row r="369" spans="1:3">
      <c r="A369" s="4" t="s">
        <v>465</v>
      </c>
      <c r="B369" s="4" t="s">
        <v>466</v>
      </c>
      <c r="C369" s="4">
        <v>373</v>
      </c>
    </row>
    <row r="370" spans="1:3">
      <c r="A370" s="4" t="s">
        <v>471</v>
      </c>
      <c r="B370" s="4" t="s">
        <v>472</v>
      </c>
      <c r="C370" s="4">
        <v>126</v>
      </c>
    </row>
    <row r="371" spans="1:3">
      <c r="A371" s="4" t="s">
        <v>477</v>
      </c>
      <c r="B371" s="4" t="s">
        <v>478</v>
      </c>
      <c r="C371" s="4">
        <v>56</v>
      </c>
    </row>
    <row r="372" spans="1:3">
      <c r="A372" s="4" t="s">
        <v>491</v>
      </c>
      <c r="B372" s="4" t="s">
        <v>492</v>
      </c>
      <c r="C372" s="4">
        <v>1.2</v>
      </c>
    </row>
    <row r="373" spans="1:3">
      <c r="A373" s="4" t="s">
        <v>487</v>
      </c>
      <c r="B373" s="4" t="s">
        <v>488</v>
      </c>
      <c r="C373" s="4">
        <v>99.2</v>
      </c>
    </row>
    <row r="374" spans="1:3">
      <c r="A374" s="4" t="s">
        <v>497</v>
      </c>
      <c r="B374" s="4" t="s">
        <v>498</v>
      </c>
      <c r="C374" s="4">
        <v>82.5</v>
      </c>
    </row>
    <row r="375" spans="1:3">
      <c r="A375" s="4" t="s">
        <v>499</v>
      </c>
      <c r="B375" s="4" t="s">
        <v>500</v>
      </c>
      <c r="C375" s="4">
        <v>373.5</v>
      </c>
    </row>
    <row r="376" spans="1:3">
      <c r="A376" s="4" t="s">
        <v>501</v>
      </c>
      <c r="B376" s="4" t="s">
        <v>502</v>
      </c>
      <c r="C376" s="4">
        <v>234.5</v>
      </c>
    </row>
    <row r="377" spans="1:3">
      <c r="A377" s="4" t="s">
        <v>511</v>
      </c>
      <c r="B377" s="4" t="s">
        <v>512</v>
      </c>
      <c r="C377" s="4">
        <v>1202</v>
      </c>
    </row>
    <row r="378" spans="1:3">
      <c r="A378" s="4" t="s">
        <v>519</v>
      </c>
      <c r="B378" s="4" t="s">
        <v>520</v>
      </c>
      <c r="C378" s="4">
        <v>1341.2</v>
      </c>
    </row>
    <row r="379" spans="1:3">
      <c r="A379" s="4" t="s">
        <v>513</v>
      </c>
      <c r="B379" s="4" t="s">
        <v>514</v>
      </c>
      <c r="C379" s="4">
        <v>582.8</v>
      </c>
    </row>
    <row r="380" spans="1:3">
      <c r="A380" s="4" t="s">
        <v>523</v>
      </c>
      <c r="B380" s="4" t="s">
        <v>524</v>
      </c>
      <c r="C380" s="4">
        <v>177.8</v>
      </c>
    </row>
    <row r="381" spans="1:3">
      <c r="A381" s="4" t="s">
        <v>529</v>
      </c>
      <c r="B381" s="4" t="s">
        <v>530</v>
      </c>
      <c r="C381" s="4">
        <v>10.2</v>
      </c>
    </row>
    <row r="382" spans="1:3">
      <c r="A382" s="4" t="s">
        <v>527</v>
      </c>
      <c r="B382" s="4" t="s">
        <v>528</v>
      </c>
      <c r="C382" s="4">
        <v>68.5</v>
      </c>
    </row>
    <row r="383" spans="1:3">
      <c r="A383" s="4" t="s">
        <v>535</v>
      </c>
      <c r="B383" s="4" t="s">
        <v>536</v>
      </c>
      <c r="C383" s="4">
        <v>117.5</v>
      </c>
    </row>
    <row r="384" spans="1:3">
      <c r="A384" s="4" t="s">
        <v>541</v>
      </c>
      <c r="B384" s="4" t="s">
        <v>542</v>
      </c>
      <c r="C384" s="4">
        <v>417.2</v>
      </c>
    </row>
    <row r="385" spans="1:3">
      <c r="A385" s="4" t="s">
        <v>533</v>
      </c>
      <c r="B385" s="4" t="s">
        <v>534</v>
      </c>
      <c r="C385" s="4">
        <v>48.8</v>
      </c>
    </row>
    <row r="386" spans="1:3">
      <c r="A386" s="4" t="s">
        <v>565</v>
      </c>
      <c r="B386" s="4" t="s">
        <v>566</v>
      </c>
      <c r="C386" s="4">
        <v>59</v>
      </c>
    </row>
    <row r="387" spans="1:3">
      <c r="A387" s="4" t="s">
        <v>571</v>
      </c>
      <c r="B387" s="4" t="s">
        <v>572</v>
      </c>
      <c r="C387" s="4">
        <v>313.8</v>
      </c>
    </row>
    <row r="388" spans="1:3">
      <c r="A388" s="4" t="s">
        <v>573</v>
      </c>
      <c r="B388" s="4" t="s">
        <v>574</v>
      </c>
      <c r="C388" s="4">
        <v>107.8</v>
      </c>
    </row>
    <row r="389" spans="1:3">
      <c r="A389" s="4" t="s">
        <v>579</v>
      </c>
      <c r="B389" s="4" t="s">
        <v>580</v>
      </c>
      <c r="C389" s="4">
        <v>366.2</v>
      </c>
    </row>
    <row r="390" spans="1:3">
      <c r="A390" s="4" t="s">
        <v>2736</v>
      </c>
      <c r="B390" s="4" t="s">
        <v>2737</v>
      </c>
      <c r="C390" s="4">
        <v>7</v>
      </c>
    </row>
    <row r="391" spans="1:3">
      <c r="A391" s="4" t="s">
        <v>589</v>
      </c>
      <c r="B391" s="4" t="s">
        <v>2738</v>
      </c>
      <c r="C391" s="4">
        <v>16.5</v>
      </c>
    </row>
    <row r="392" spans="1:3">
      <c r="A392" s="4" t="s">
        <v>625</v>
      </c>
      <c r="B392" s="4" t="s">
        <v>626</v>
      </c>
      <c r="C392" s="4">
        <v>25</v>
      </c>
    </row>
    <row r="393" spans="1:3">
      <c r="A393" s="4" t="s">
        <v>591</v>
      </c>
      <c r="B393" s="4" t="s">
        <v>592</v>
      </c>
      <c r="C393" s="4">
        <v>36.2</v>
      </c>
    </row>
    <row r="394" spans="1:3">
      <c r="A394" s="4" t="s">
        <v>597</v>
      </c>
      <c r="B394" s="4" t="s">
        <v>598</v>
      </c>
      <c r="C394" s="4">
        <v>226</v>
      </c>
    </row>
    <row r="395" spans="1:3">
      <c r="A395" s="4" t="s">
        <v>599</v>
      </c>
      <c r="B395" s="4" t="s">
        <v>600</v>
      </c>
      <c r="C395" s="4">
        <v>646.8</v>
      </c>
    </row>
    <row r="396" spans="1:3">
      <c r="A396" s="4" t="s">
        <v>601</v>
      </c>
      <c r="B396" s="4" t="s">
        <v>602</v>
      </c>
      <c r="C396" s="4">
        <v>47.8</v>
      </c>
    </row>
    <row r="397" spans="1:3">
      <c r="A397" s="4" t="s">
        <v>605</v>
      </c>
      <c r="B397" s="4" t="s">
        <v>606</v>
      </c>
      <c r="C397" s="4">
        <v>19</v>
      </c>
    </row>
    <row r="398" spans="1:3">
      <c r="A398" s="4" t="s">
        <v>607</v>
      </c>
      <c r="B398" s="4" t="s">
        <v>608</v>
      </c>
      <c r="C398" s="4">
        <v>281.2</v>
      </c>
    </row>
    <row r="399" spans="1:3">
      <c r="A399" s="4" t="s">
        <v>613</v>
      </c>
      <c r="B399" s="4" t="s">
        <v>614</v>
      </c>
      <c r="C399" s="4">
        <v>128.8</v>
      </c>
    </row>
    <row r="400" spans="1:3">
      <c r="A400" s="4" t="s">
        <v>615</v>
      </c>
      <c r="B400" s="4" t="s">
        <v>616</v>
      </c>
      <c r="C400" s="4">
        <v>95.2</v>
      </c>
    </row>
    <row r="401" spans="1:3">
      <c r="A401" s="4" t="s">
        <v>617</v>
      </c>
      <c r="B401" s="4" t="s">
        <v>618</v>
      </c>
      <c r="C401" s="4">
        <v>7275.2</v>
      </c>
    </row>
    <row r="402" spans="1:3">
      <c r="A402" s="4" t="s">
        <v>629</v>
      </c>
      <c r="B402" s="4" t="s">
        <v>630</v>
      </c>
      <c r="C402" s="4">
        <v>124.2</v>
      </c>
    </row>
    <row r="403" spans="1:3">
      <c r="A403" s="4" t="s">
        <v>635</v>
      </c>
      <c r="B403" s="4" t="s">
        <v>636</v>
      </c>
      <c r="C403" s="4">
        <v>6.5</v>
      </c>
    </row>
    <row r="404" spans="1:3">
      <c r="A404" s="4" t="s">
        <v>643</v>
      </c>
      <c r="B404" s="4" t="s">
        <v>644</v>
      </c>
      <c r="C404" s="4">
        <v>101.8</v>
      </c>
    </row>
    <row r="405" spans="1:3">
      <c r="A405" s="4" t="s">
        <v>637</v>
      </c>
      <c r="B405" s="4" t="s">
        <v>638</v>
      </c>
      <c r="C405" s="4">
        <v>95</v>
      </c>
    </row>
    <row r="406" spans="1:3">
      <c r="A406" s="4" t="s">
        <v>653</v>
      </c>
      <c r="B406" s="4" t="s">
        <v>654</v>
      </c>
      <c r="C406" s="4">
        <v>17</v>
      </c>
    </row>
    <row r="407" spans="1:3">
      <c r="A407" s="4" t="s">
        <v>655</v>
      </c>
      <c r="B407" s="4" t="s">
        <v>656</v>
      </c>
      <c r="C407" s="4">
        <v>290.8</v>
      </c>
    </row>
    <row r="408" spans="1:3">
      <c r="A408" s="4" t="s">
        <v>657</v>
      </c>
      <c r="B408" s="4" t="s">
        <v>658</v>
      </c>
      <c r="C408" s="4">
        <v>346.5</v>
      </c>
    </row>
    <row r="409" spans="1:3">
      <c r="A409" s="4" t="s">
        <v>661</v>
      </c>
      <c r="B409" s="4" t="s">
        <v>662</v>
      </c>
      <c r="C409" s="4">
        <v>428</v>
      </c>
    </row>
    <row r="410" spans="1:3">
      <c r="A410" s="4" t="s">
        <v>659</v>
      </c>
      <c r="B410" s="4" t="s">
        <v>660</v>
      </c>
      <c r="C410" s="4">
        <v>61.5</v>
      </c>
    </row>
    <row r="411" spans="1:3">
      <c r="A411" s="4" t="s">
        <v>671</v>
      </c>
      <c r="B411" s="4" t="s">
        <v>672</v>
      </c>
      <c r="C411" s="4">
        <v>11.8</v>
      </c>
    </row>
    <row r="412" spans="1:3">
      <c r="A412" s="4" t="s">
        <v>675</v>
      </c>
      <c r="B412" s="4" t="s">
        <v>676</v>
      </c>
      <c r="C412" s="4">
        <v>5.8</v>
      </c>
    </row>
    <row r="413" spans="1:3">
      <c r="A413" s="4" t="s">
        <v>677</v>
      </c>
      <c r="B413" s="4" t="s">
        <v>678</v>
      </c>
      <c r="C413" s="4">
        <v>19.2</v>
      </c>
    </row>
    <row r="414" spans="1:3">
      <c r="A414" s="4" t="s">
        <v>687</v>
      </c>
      <c r="B414" s="4" t="s">
        <v>688</v>
      </c>
      <c r="C414" s="4">
        <v>93</v>
      </c>
    </row>
    <row r="415" spans="1:3">
      <c r="A415" s="4" t="s">
        <v>683</v>
      </c>
      <c r="B415" s="4" t="s">
        <v>684</v>
      </c>
      <c r="C415" s="4">
        <v>413</v>
      </c>
    </row>
    <row r="416" spans="1:3">
      <c r="A416" s="4" t="s">
        <v>689</v>
      </c>
      <c r="B416" s="4" t="s">
        <v>690</v>
      </c>
      <c r="C416" s="4">
        <v>2</v>
      </c>
    </row>
    <row r="417" spans="1:3">
      <c r="A417" s="4" t="s">
        <v>691</v>
      </c>
      <c r="B417" s="4" t="s">
        <v>692</v>
      </c>
      <c r="C417" s="4">
        <v>343.2</v>
      </c>
    </row>
    <row r="418" spans="1:3">
      <c r="A418" s="4" t="s">
        <v>695</v>
      </c>
      <c r="B418" s="4" t="s">
        <v>696</v>
      </c>
      <c r="C418" s="4">
        <v>249.8</v>
      </c>
    </row>
    <row r="419" spans="1:3">
      <c r="A419" s="4" t="s">
        <v>697</v>
      </c>
      <c r="B419" s="4" t="s">
        <v>698</v>
      </c>
      <c r="C419" s="4">
        <v>3.5</v>
      </c>
    </row>
    <row r="420" spans="1:3">
      <c r="A420" s="4" t="s">
        <v>693</v>
      </c>
      <c r="B420" s="4" t="s">
        <v>694</v>
      </c>
      <c r="C420" s="4">
        <v>309.5</v>
      </c>
    </row>
    <row r="421" spans="1:3">
      <c r="A421" s="4" t="s">
        <v>707</v>
      </c>
      <c r="B421" s="4" t="s">
        <v>708</v>
      </c>
      <c r="C421" s="4">
        <v>13.5</v>
      </c>
    </row>
    <row r="422" spans="1:3">
      <c r="A422" s="4" t="s">
        <v>711</v>
      </c>
      <c r="B422" s="4" t="s">
        <v>712</v>
      </c>
      <c r="C422" s="4">
        <v>30</v>
      </c>
    </row>
    <row r="423" spans="1:3">
      <c r="A423" s="4" t="s">
        <v>717</v>
      </c>
      <c r="B423" s="4" t="s">
        <v>718</v>
      </c>
      <c r="C423" s="4">
        <v>146.2</v>
      </c>
    </row>
    <row r="424" spans="1:3">
      <c r="A424" s="4" t="s">
        <v>737</v>
      </c>
      <c r="B424" s="4" t="s">
        <v>738</v>
      </c>
      <c r="C424" s="4">
        <v>64.8</v>
      </c>
    </row>
    <row r="425" spans="1:3">
      <c r="A425" s="4" t="s">
        <v>741</v>
      </c>
      <c r="B425" s="4" t="s">
        <v>742</v>
      </c>
      <c r="C425" s="4">
        <v>2.2</v>
      </c>
    </row>
    <row r="426" spans="1:3">
      <c r="A426" s="4" t="s">
        <v>755</v>
      </c>
      <c r="B426" s="4" t="s">
        <v>756</v>
      </c>
      <c r="C426" s="4">
        <v>109</v>
      </c>
    </row>
    <row r="427" spans="1:3">
      <c r="A427" s="4" t="s">
        <v>791</v>
      </c>
      <c r="B427" s="4" t="s">
        <v>792</v>
      </c>
      <c r="C427" s="4">
        <v>32</v>
      </c>
    </row>
    <row r="428" spans="1:3">
      <c r="A428" s="4" t="s">
        <v>855</v>
      </c>
      <c r="B428" s="4" t="s">
        <v>856</v>
      </c>
      <c r="C428" s="4">
        <v>1.8</v>
      </c>
    </row>
    <row r="429" spans="1:3">
      <c r="A429" s="4" t="s">
        <v>731</v>
      </c>
      <c r="B429" s="4" t="s">
        <v>732</v>
      </c>
      <c r="C429" s="4">
        <v>80.8</v>
      </c>
    </row>
    <row r="430" spans="1:3">
      <c r="A430" s="4" t="s">
        <v>733</v>
      </c>
      <c r="B430" s="4" t="s">
        <v>734</v>
      </c>
      <c r="C430" s="4">
        <v>76</v>
      </c>
    </row>
    <row r="431" spans="1:3">
      <c r="A431" s="4" t="s">
        <v>739</v>
      </c>
      <c r="B431" s="4" t="s">
        <v>740</v>
      </c>
      <c r="C431" s="4">
        <v>33</v>
      </c>
    </row>
    <row r="432" spans="1:3">
      <c r="A432" s="4" t="s">
        <v>743</v>
      </c>
      <c r="B432" s="4" t="s">
        <v>744</v>
      </c>
      <c r="C432" s="4">
        <v>212.8</v>
      </c>
    </row>
    <row r="433" spans="1:3">
      <c r="A433" s="4" t="s">
        <v>759</v>
      </c>
      <c r="B433" s="4" t="s">
        <v>760</v>
      </c>
      <c r="C433" s="4">
        <v>154.8</v>
      </c>
    </row>
    <row r="434" spans="1:3">
      <c r="A434" s="4" t="s">
        <v>761</v>
      </c>
      <c r="B434" s="4" t="s">
        <v>762</v>
      </c>
      <c r="C434" s="4">
        <v>429.5</v>
      </c>
    </row>
    <row r="435" spans="1:3">
      <c r="A435" s="4" t="s">
        <v>767</v>
      </c>
      <c r="B435" s="4" t="s">
        <v>768</v>
      </c>
      <c r="C435" s="4">
        <v>9.2</v>
      </c>
    </row>
    <row r="436" spans="1:3">
      <c r="A436" s="4" t="s">
        <v>765</v>
      </c>
      <c r="B436" s="4" t="s">
        <v>766</v>
      </c>
      <c r="C436" s="4">
        <v>17.8</v>
      </c>
    </row>
    <row r="437" spans="1:3">
      <c r="A437" s="4" t="s">
        <v>763</v>
      </c>
      <c r="B437" s="4" t="s">
        <v>764</v>
      </c>
      <c r="C437" s="4">
        <v>50.8</v>
      </c>
    </row>
    <row r="438" spans="1:3">
      <c r="A438" s="4" t="s">
        <v>775</v>
      </c>
      <c r="B438" s="4" t="s">
        <v>776</v>
      </c>
      <c r="C438" s="4">
        <v>2.2</v>
      </c>
    </row>
    <row r="439" spans="1:3">
      <c r="A439" s="4" t="s">
        <v>787</v>
      </c>
      <c r="B439" s="4" t="s">
        <v>2675</v>
      </c>
      <c r="C439" s="4">
        <v>94.2</v>
      </c>
    </row>
    <row r="440" spans="1:3">
      <c r="A440" s="4" t="s">
        <v>793</v>
      </c>
      <c r="B440" s="4" t="s">
        <v>794</v>
      </c>
      <c r="C440" s="4">
        <v>150.5</v>
      </c>
    </row>
    <row r="441" spans="1:3">
      <c r="A441" s="4" t="s">
        <v>799</v>
      </c>
      <c r="B441" s="4" t="s">
        <v>800</v>
      </c>
      <c r="C441" s="4">
        <v>2</v>
      </c>
    </row>
    <row r="442" spans="1:3">
      <c r="A442" s="4" t="s">
        <v>813</v>
      </c>
      <c r="B442" s="4" t="s">
        <v>814</v>
      </c>
      <c r="C442" s="4">
        <v>4.8</v>
      </c>
    </row>
    <row r="443" spans="1:3">
      <c r="A443" s="4" t="s">
        <v>819</v>
      </c>
      <c r="B443" s="4" t="s">
        <v>820</v>
      </c>
      <c r="C443" s="4">
        <v>15.8</v>
      </c>
    </row>
    <row r="444" spans="1:3">
      <c r="A444" s="4" t="s">
        <v>821</v>
      </c>
      <c r="B444" s="4" t="s">
        <v>822</v>
      </c>
      <c r="C444" s="4">
        <v>23.2</v>
      </c>
    </row>
    <row r="445" spans="1:3">
      <c r="A445" s="4" t="s">
        <v>823</v>
      </c>
      <c r="B445" s="4" t="s">
        <v>824</v>
      </c>
      <c r="C445" s="4">
        <v>7.5</v>
      </c>
    </row>
    <row r="446" spans="1:3">
      <c r="A446" s="4" t="s">
        <v>833</v>
      </c>
      <c r="B446" s="4" t="s">
        <v>834</v>
      </c>
      <c r="C446" s="4">
        <v>455.2</v>
      </c>
    </row>
    <row r="447" spans="1:3">
      <c r="A447" s="4" t="s">
        <v>835</v>
      </c>
      <c r="B447" s="4" t="s">
        <v>836</v>
      </c>
      <c r="C447" s="4">
        <v>76.2</v>
      </c>
    </row>
    <row r="448" spans="1:3">
      <c r="A448" s="4" t="s">
        <v>837</v>
      </c>
      <c r="B448" s="4" t="s">
        <v>838</v>
      </c>
      <c r="C448" s="4">
        <v>154.8</v>
      </c>
    </row>
    <row r="449" spans="1:3">
      <c r="A449" s="4" t="s">
        <v>843</v>
      </c>
      <c r="B449" s="4" t="s">
        <v>844</v>
      </c>
      <c r="C449" s="4">
        <v>3.8</v>
      </c>
    </row>
    <row r="450" spans="1:3">
      <c r="A450" s="4" t="s">
        <v>845</v>
      </c>
      <c r="B450" s="4" t="s">
        <v>846</v>
      </c>
      <c r="C450" s="4">
        <v>75.5</v>
      </c>
    </row>
    <row r="451" spans="1:3">
      <c r="A451" s="4" t="s">
        <v>853</v>
      </c>
      <c r="B451" s="4" t="s">
        <v>854</v>
      </c>
      <c r="C451" s="4">
        <v>25</v>
      </c>
    </row>
    <row r="452" spans="1:3">
      <c r="A452" s="4" t="s">
        <v>857</v>
      </c>
      <c r="B452" s="4" t="s">
        <v>858</v>
      </c>
      <c r="C452" s="4">
        <v>5.2</v>
      </c>
    </row>
    <row r="453" spans="1:3">
      <c r="A453" s="4" t="s">
        <v>859</v>
      </c>
      <c r="B453" s="4" t="s">
        <v>860</v>
      </c>
      <c r="C453" s="4">
        <v>358.2</v>
      </c>
    </row>
    <row r="454" spans="1:3">
      <c r="A454" s="4" t="s">
        <v>873</v>
      </c>
      <c r="B454" s="4" t="s">
        <v>874</v>
      </c>
      <c r="C454" s="4">
        <v>97.2</v>
      </c>
    </row>
    <row r="455" spans="1:3">
      <c r="A455" s="4" t="s">
        <v>877</v>
      </c>
      <c r="B455" s="4" t="s">
        <v>878</v>
      </c>
      <c r="C455" s="4">
        <v>1907.5</v>
      </c>
    </row>
    <row r="456" spans="1:3">
      <c r="A456" s="5" t="s">
        <v>879</v>
      </c>
      <c r="B456" s="5" t="s">
        <v>880</v>
      </c>
      <c r="C456" s="5">
        <v>0.8</v>
      </c>
    </row>
    <row r="457" spans="1:3">
      <c r="A457" s="4" t="s">
        <v>889</v>
      </c>
      <c r="B457" s="4" t="s">
        <v>890</v>
      </c>
      <c r="C457" s="4">
        <v>163.5</v>
      </c>
    </row>
    <row r="458" spans="1:3">
      <c r="A458" s="4" t="s">
        <v>893</v>
      </c>
      <c r="B458" s="4" t="s">
        <v>894</v>
      </c>
      <c r="C458" s="4">
        <v>14.5</v>
      </c>
    </row>
    <row r="459" spans="1:3">
      <c r="A459" s="4" t="s">
        <v>895</v>
      </c>
      <c r="B459" s="4" t="s">
        <v>896</v>
      </c>
      <c r="C459" s="4">
        <v>7.2</v>
      </c>
    </row>
    <row r="460" spans="1:3">
      <c r="A460" s="4" t="s">
        <v>909</v>
      </c>
      <c r="B460" s="4" t="s">
        <v>910</v>
      </c>
      <c r="C460" s="4">
        <v>55.5</v>
      </c>
    </row>
    <row r="461" spans="1:3">
      <c r="A461" s="4" t="s">
        <v>925</v>
      </c>
      <c r="B461" s="4" t="s">
        <v>926</v>
      </c>
      <c r="C461" s="4">
        <v>4</v>
      </c>
    </row>
    <row r="462" spans="1:3">
      <c r="A462" s="4" t="s">
        <v>941</v>
      </c>
      <c r="B462" s="4" t="s">
        <v>942</v>
      </c>
      <c r="C462" s="4">
        <v>86.5</v>
      </c>
    </row>
    <row r="463" spans="1:3">
      <c r="A463" s="4" t="s">
        <v>935</v>
      </c>
      <c r="B463" s="4" t="s">
        <v>936</v>
      </c>
      <c r="C463" s="4">
        <v>118.8</v>
      </c>
    </row>
    <row r="464" spans="1:3">
      <c r="A464" s="4" t="s">
        <v>947</v>
      </c>
      <c r="B464" s="4" t="s">
        <v>948</v>
      </c>
      <c r="C464" s="4">
        <v>24.8</v>
      </c>
    </row>
    <row r="465" spans="1:3">
      <c r="A465" s="4" t="s">
        <v>927</v>
      </c>
      <c r="B465" s="4" t="s">
        <v>928</v>
      </c>
      <c r="C465" s="4">
        <v>115.5</v>
      </c>
    </row>
    <row r="466" spans="1:3">
      <c r="A466" s="4" t="s">
        <v>933</v>
      </c>
      <c r="B466" s="4" t="s">
        <v>934</v>
      </c>
      <c r="C466" s="4">
        <v>6.8</v>
      </c>
    </row>
    <row r="467" spans="1:3">
      <c r="A467" s="4" t="s">
        <v>937</v>
      </c>
      <c r="B467" s="4" t="s">
        <v>938</v>
      </c>
      <c r="C467" s="4">
        <v>128.2</v>
      </c>
    </row>
    <row r="468" spans="1:3">
      <c r="A468" s="4" t="s">
        <v>959</v>
      </c>
      <c r="B468" s="4" t="s">
        <v>960</v>
      </c>
      <c r="C468" s="4">
        <v>132</v>
      </c>
    </row>
    <row r="469" spans="1:3">
      <c r="A469" s="4" t="s">
        <v>961</v>
      </c>
      <c r="B469" s="4" t="s">
        <v>962</v>
      </c>
      <c r="C469" s="4">
        <v>27</v>
      </c>
    </row>
    <row r="470" spans="1:3">
      <c r="A470" s="4" t="s">
        <v>963</v>
      </c>
      <c r="B470" s="4" t="s">
        <v>964</v>
      </c>
      <c r="C470" s="4">
        <v>3.5</v>
      </c>
    </row>
    <row r="471" spans="1:3">
      <c r="A471" s="4" t="s">
        <v>969</v>
      </c>
      <c r="B471" s="4" t="s">
        <v>970</v>
      </c>
      <c r="C471" s="4">
        <v>13.8</v>
      </c>
    </row>
    <row r="472" spans="1:3">
      <c r="A472" s="4" t="s">
        <v>967</v>
      </c>
      <c r="B472" s="4" t="s">
        <v>968</v>
      </c>
      <c r="C472" s="4">
        <v>189.2</v>
      </c>
    </row>
    <row r="473" spans="1:3">
      <c r="A473" s="4" t="s">
        <v>975</v>
      </c>
      <c r="B473" s="4" t="s">
        <v>976</v>
      </c>
      <c r="C473" s="4">
        <v>5</v>
      </c>
    </row>
    <row r="474" spans="1:3">
      <c r="A474" s="5" t="s">
        <v>977</v>
      </c>
      <c r="B474" s="5" t="s">
        <v>978</v>
      </c>
      <c r="C474" s="5">
        <v>0.8</v>
      </c>
    </row>
    <row r="475" spans="1:3">
      <c r="A475" s="4" t="s">
        <v>987</v>
      </c>
      <c r="B475" s="4" t="s">
        <v>988</v>
      </c>
      <c r="C475" s="4">
        <v>28</v>
      </c>
    </row>
    <row r="476" spans="1:3">
      <c r="A476" s="4" t="s">
        <v>989</v>
      </c>
      <c r="B476" s="4" t="s">
        <v>990</v>
      </c>
      <c r="C476" s="4">
        <v>31.5</v>
      </c>
    </row>
    <row r="477" spans="1:3">
      <c r="A477" s="4" t="s">
        <v>991</v>
      </c>
      <c r="B477" s="4" t="s">
        <v>992</v>
      </c>
      <c r="C477" s="4">
        <v>34.5</v>
      </c>
    </row>
    <row r="478" spans="1:3">
      <c r="A478" s="4" t="s">
        <v>1003</v>
      </c>
      <c r="B478" s="4" t="s">
        <v>1004</v>
      </c>
      <c r="C478" s="4">
        <v>51.5</v>
      </c>
    </row>
    <row r="479" spans="1:3">
      <c r="A479" s="4" t="s">
        <v>1031</v>
      </c>
      <c r="B479" s="4" t="s">
        <v>1032</v>
      </c>
      <c r="C479" s="4">
        <v>15.8</v>
      </c>
    </row>
    <row r="480" spans="1:3">
      <c r="A480" s="4" t="s">
        <v>1009</v>
      </c>
      <c r="B480" s="4" t="s">
        <v>1010</v>
      </c>
      <c r="C480" s="4">
        <v>32.2</v>
      </c>
    </row>
    <row r="481" spans="1:3">
      <c r="A481" s="4" t="s">
        <v>1013</v>
      </c>
      <c r="B481" s="4" t="s">
        <v>1014</v>
      </c>
      <c r="C481" s="4">
        <v>3352.5</v>
      </c>
    </row>
    <row r="482" spans="1:3">
      <c r="A482" s="4" t="s">
        <v>1017</v>
      </c>
      <c r="B482" s="4" t="s">
        <v>1018</v>
      </c>
      <c r="C482" s="4">
        <v>621.8</v>
      </c>
    </row>
    <row r="483" spans="1:3">
      <c r="A483" s="4" t="s">
        <v>1027</v>
      </c>
      <c r="B483" s="4" t="s">
        <v>1028</v>
      </c>
      <c r="C483" s="4">
        <v>7.2</v>
      </c>
    </row>
    <row r="484" spans="1:3">
      <c r="A484" s="4" t="s">
        <v>1033</v>
      </c>
      <c r="B484" s="4" t="s">
        <v>1034</v>
      </c>
      <c r="C484" s="4">
        <v>111.2</v>
      </c>
    </row>
    <row r="485" spans="1:3">
      <c r="A485" s="4" t="s">
        <v>1037</v>
      </c>
      <c r="B485" s="4" t="s">
        <v>1038</v>
      </c>
      <c r="C485" s="4">
        <v>6.5</v>
      </c>
    </row>
    <row r="486" spans="1:3">
      <c r="A486" s="4" t="s">
        <v>1051</v>
      </c>
      <c r="B486" s="4" t="s">
        <v>1052</v>
      </c>
      <c r="C486" s="4">
        <v>664</v>
      </c>
    </row>
    <row r="487" spans="1:3">
      <c r="A487" s="4" t="s">
        <v>1059</v>
      </c>
      <c r="B487" s="4" t="s">
        <v>1060</v>
      </c>
      <c r="C487" s="4">
        <v>10.5</v>
      </c>
    </row>
    <row r="488" spans="1:3">
      <c r="A488" s="4" t="s">
        <v>1065</v>
      </c>
      <c r="B488" s="4" t="s">
        <v>1066</v>
      </c>
      <c r="C488" s="4">
        <v>49.2</v>
      </c>
    </row>
    <row r="489" spans="1:3">
      <c r="A489" s="4" t="s">
        <v>1069</v>
      </c>
      <c r="B489" s="4" t="s">
        <v>1070</v>
      </c>
      <c r="C489" s="4">
        <v>101.5</v>
      </c>
    </row>
    <row r="490" spans="1:3">
      <c r="A490" s="4" t="s">
        <v>1079</v>
      </c>
      <c r="B490" s="4" t="s">
        <v>1080</v>
      </c>
      <c r="C490" s="4">
        <v>150.2</v>
      </c>
    </row>
    <row r="491" spans="1:3">
      <c r="A491" s="4" t="s">
        <v>1077</v>
      </c>
      <c r="B491" s="4" t="s">
        <v>1078</v>
      </c>
      <c r="C491" s="4">
        <v>113.8</v>
      </c>
    </row>
    <row r="492" spans="1:3">
      <c r="A492" s="4" t="s">
        <v>1095</v>
      </c>
      <c r="B492" s="4" t="s">
        <v>1096</v>
      </c>
      <c r="C492" s="4">
        <v>4.2</v>
      </c>
    </row>
    <row r="493" spans="1:3">
      <c r="A493" s="4" t="s">
        <v>1107</v>
      </c>
      <c r="B493" s="4" t="s">
        <v>1108</v>
      </c>
      <c r="C493" s="4">
        <v>7.8</v>
      </c>
    </row>
    <row r="494" spans="1:3">
      <c r="A494" s="4" t="s">
        <v>1109</v>
      </c>
      <c r="B494" s="4" t="s">
        <v>1110</v>
      </c>
      <c r="C494" s="4">
        <v>23.8</v>
      </c>
    </row>
    <row r="495" spans="1:3">
      <c r="A495" s="4" t="s">
        <v>1151</v>
      </c>
      <c r="B495" s="4" t="s">
        <v>1152</v>
      </c>
      <c r="C495" s="4">
        <v>41</v>
      </c>
    </row>
    <row r="496" spans="1:3">
      <c r="A496" s="4" t="s">
        <v>1171</v>
      </c>
      <c r="B496" s="4" t="s">
        <v>1172</v>
      </c>
      <c r="C496" s="4">
        <v>11.8</v>
      </c>
    </row>
    <row r="497" spans="1:3">
      <c r="A497" s="4" t="s">
        <v>1111</v>
      </c>
      <c r="B497" s="4" t="s">
        <v>1112</v>
      </c>
      <c r="C497" s="4">
        <v>215.2</v>
      </c>
    </row>
    <row r="498" spans="1:3">
      <c r="A498" s="4" t="s">
        <v>1125</v>
      </c>
      <c r="B498" s="4" t="s">
        <v>1126</v>
      </c>
      <c r="C498" s="4">
        <v>2</v>
      </c>
    </row>
    <row r="499" spans="1:3">
      <c r="A499" s="4" t="s">
        <v>1127</v>
      </c>
      <c r="B499" s="4" t="s">
        <v>1128</v>
      </c>
      <c r="C499" s="4">
        <v>238</v>
      </c>
    </row>
    <row r="500" spans="1:3">
      <c r="A500" s="4" t="s">
        <v>1131</v>
      </c>
      <c r="B500" s="4" t="s">
        <v>1132</v>
      </c>
      <c r="C500" s="4">
        <v>26.2</v>
      </c>
    </row>
    <row r="501" spans="1:3">
      <c r="A501" s="4" t="s">
        <v>1133</v>
      </c>
      <c r="B501" s="4" t="s">
        <v>1134</v>
      </c>
      <c r="C501" s="4">
        <v>101.5</v>
      </c>
    </row>
    <row r="502" spans="1:3">
      <c r="A502" s="4" t="s">
        <v>1141</v>
      </c>
      <c r="B502" s="4" t="s">
        <v>1142</v>
      </c>
      <c r="C502" s="4">
        <v>28.5</v>
      </c>
    </row>
    <row r="503" spans="1:3">
      <c r="A503" s="4" t="s">
        <v>1147</v>
      </c>
      <c r="B503" s="4" t="s">
        <v>1148</v>
      </c>
      <c r="C503" s="4">
        <v>82</v>
      </c>
    </row>
    <row r="504" spans="1:3">
      <c r="A504" s="4" t="s">
        <v>1169</v>
      </c>
      <c r="B504" s="4" t="s">
        <v>1170</v>
      </c>
      <c r="C504" s="4">
        <v>46.8</v>
      </c>
    </row>
    <row r="505" spans="1:3">
      <c r="A505" s="4" t="s">
        <v>1175</v>
      </c>
      <c r="B505" s="4" t="s">
        <v>1176</v>
      </c>
      <c r="C505" s="4">
        <v>12.2</v>
      </c>
    </row>
    <row r="506" spans="1:3">
      <c r="A506" s="4" t="s">
        <v>1167</v>
      </c>
      <c r="B506" s="4" t="s">
        <v>1168</v>
      </c>
      <c r="C506" s="4">
        <v>25.5</v>
      </c>
    </row>
    <row r="507" spans="1:3">
      <c r="A507" s="4" t="s">
        <v>1173</v>
      </c>
      <c r="B507" s="4" t="s">
        <v>1174</v>
      </c>
      <c r="C507" s="4">
        <v>404.2</v>
      </c>
    </row>
    <row r="508" spans="1:3">
      <c r="A508" s="4" t="s">
        <v>1187</v>
      </c>
      <c r="B508" s="4" t="s">
        <v>1188</v>
      </c>
      <c r="C508" s="4">
        <v>135.2</v>
      </c>
    </row>
    <row r="509" spans="1:3">
      <c r="A509" s="4" t="s">
        <v>1191</v>
      </c>
      <c r="B509" s="4" t="s">
        <v>1192</v>
      </c>
      <c r="C509" s="4">
        <v>217</v>
      </c>
    </row>
    <row r="510" spans="1:3">
      <c r="A510" s="4" t="s">
        <v>1177</v>
      </c>
      <c r="B510" s="4" t="s">
        <v>1178</v>
      </c>
      <c r="C510" s="4">
        <v>9.8</v>
      </c>
    </row>
    <row r="511" spans="1:3">
      <c r="A511" s="4" t="s">
        <v>1179</v>
      </c>
      <c r="B511" s="4" t="s">
        <v>1180</v>
      </c>
      <c r="C511" s="4">
        <v>4.8</v>
      </c>
    </row>
    <row r="512" spans="1:3">
      <c r="A512" s="4" t="s">
        <v>1185</v>
      </c>
      <c r="B512" s="4" t="s">
        <v>1186</v>
      </c>
      <c r="C512" s="4">
        <v>26.8</v>
      </c>
    </row>
    <row r="513" spans="1:3">
      <c r="A513" s="4" t="s">
        <v>1189</v>
      </c>
      <c r="B513" s="4" t="s">
        <v>1190</v>
      </c>
      <c r="C513" s="4">
        <v>149.2</v>
      </c>
    </row>
    <row r="514" spans="1:3">
      <c r="A514" s="4" t="s">
        <v>1205</v>
      </c>
      <c r="B514" s="4" t="s">
        <v>1206</v>
      </c>
      <c r="C514" s="4">
        <v>8.5</v>
      </c>
    </row>
    <row r="515" spans="1:3">
      <c r="A515" s="4" t="s">
        <v>1227</v>
      </c>
      <c r="B515" s="4" t="s">
        <v>1228</v>
      </c>
      <c r="C515" s="4">
        <v>6.2</v>
      </c>
    </row>
    <row r="516" spans="1:3">
      <c r="A516" s="4" t="s">
        <v>1209</v>
      </c>
      <c r="B516" s="4" t="s">
        <v>1210</v>
      </c>
      <c r="C516" s="4">
        <v>272.5</v>
      </c>
    </row>
    <row r="517" spans="1:3">
      <c r="A517" s="4" t="s">
        <v>1221</v>
      </c>
      <c r="B517" s="4" t="s">
        <v>1222</v>
      </c>
      <c r="C517" s="4">
        <v>234.2</v>
      </c>
    </row>
    <row r="518" spans="1:3">
      <c r="A518" s="4" t="s">
        <v>1233</v>
      </c>
      <c r="B518" s="4" t="s">
        <v>1234</v>
      </c>
      <c r="C518" s="4">
        <v>218.2</v>
      </c>
    </row>
    <row r="519" spans="1:3">
      <c r="A519" s="4" t="s">
        <v>1241</v>
      </c>
      <c r="B519" s="4" t="s">
        <v>1242</v>
      </c>
      <c r="C519" s="4">
        <v>47.2</v>
      </c>
    </row>
    <row r="520" spans="1:3">
      <c r="A520" s="4" t="s">
        <v>1243</v>
      </c>
      <c r="B520" s="4" t="s">
        <v>1244</v>
      </c>
      <c r="C520" s="4">
        <v>17.8</v>
      </c>
    </row>
    <row r="521" spans="1:3">
      <c r="A521" s="4" t="s">
        <v>1245</v>
      </c>
      <c r="B521" s="4" t="s">
        <v>1246</v>
      </c>
      <c r="C521" s="4">
        <v>50.5</v>
      </c>
    </row>
    <row r="522" spans="1:3">
      <c r="A522" s="4" t="s">
        <v>1325</v>
      </c>
      <c r="B522" s="4" t="s">
        <v>1326</v>
      </c>
      <c r="C522" s="4">
        <v>52.2</v>
      </c>
    </row>
    <row r="523" spans="1:3">
      <c r="A523" s="4" t="s">
        <v>1249</v>
      </c>
      <c r="B523" s="4" t="s">
        <v>1250</v>
      </c>
      <c r="C523" s="4">
        <v>46</v>
      </c>
    </row>
    <row r="524" spans="1:3">
      <c r="A524" s="4" t="s">
        <v>1257</v>
      </c>
      <c r="B524" s="4" t="s">
        <v>1258</v>
      </c>
      <c r="C524" s="4">
        <v>77.2</v>
      </c>
    </row>
    <row r="525" spans="1:3">
      <c r="A525" s="4" t="s">
        <v>1259</v>
      </c>
      <c r="B525" s="4" t="s">
        <v>1260</v>
      </c>
      <c r="C525" s="4">
        <v>100</v>
      </c>
    </row>
    <row r="526" spans="1:3">
      <c r="A526" s="4" t="s">
        <v>1263</v>
      </c>
      <c r="B526" s="4" t="s">
        <v>1264</v>
      </c>
      <c r="C526" s="4">
        <v>116.5</v>
      </c>
    </row>
    <row r="527" spans="1:3">
      <c r="A527" s="4" t="s">
        <v>1269</v>
      </c>
      <c r="B527" s="4" t="s">
        <v>1270</v>
      </c>
      <c r="C527" s="4">
        <v>112.5</v>
      </c>
    </row>
    <row r="528" spans="1:3">
      <c r="A528" s="4" t="s">
        <v>1279</v>
      </c>
      <c r="B528" s="4" t="s">
        <v>1280</v>
      </c>
      <c r="C528" s="4">
        <v>3.5</v>
      </c>
    </row>
    <row r="529" spans="1:3">
      <c r="A529" s="4" t="s">
        <v>1285</v>
      </c>
      <c r="B529" s="4" t="s">
        <v>1286</v>
      </c>
      <c r="C529" s="4">
        <v>6</v>
      </c>
    </row>
    <row r="530" spans="1:3">
      <c r="A530" s="4" t="s">
        <v>1291</v>
      </c>
      <c r="B530" s="4" t="s">
        <v>1292</v>
      </c>
      <c r="C530" s="4">
        <v>185</v>
      </c>
    </row>
    <row r="531" spans="1:3">
      <c r="A531" s="4" t="s">
        <v>1295</v>
      </c>
      <c r="B531" s="4" t="s">
        <v>1296</v>
      </c>
      <c r="C531" s="4">
        <v>106.5</v>
      </c>
    </row>
    <row r="532" spans="1:3">
      <c r="A532" s="4" t="s">
        <v>1301</v>
      </c>
      <c r="B532" s="4" t="s">
        <v>1302</v>
      </c>
      <c r="C532" s="4">
        <v>154.8</v>
      </c>
    </row>
    <row r="533" spans="1:3">
      <c r="A533" s="4" t="s">
        <v>1311</v>
      </c>
      <c r="B533" s="4" t="s">
        <v>1312</v>
      </c>
      <c r="C533" s="4">
        <v>212.5</v>
      </c>
    </row>
    <row r="534" spans="1:3">
      <c r="A534" s="4" t="s">
        <v>1309</v>
      </c>
      <c r="B534" s="4" t="s">
        <v>1310</v>
      </c>
      <c r="C534" s="4">
        <v>24</v>
      </c>
    </row>
    <row r="535" spans="1:3">
      <c r="A535" s="4" t="s">
        <v>1313</v>
      </c>
      <c r="B535" s="4" t="s">
        <v>1314</v>
      </c>
      <c r="C535" s="4">
        <v>15.5</v>
      </c>
    </row>
    <row r="536" spans="1:3">
      <c r="A536" s="4" t="s">
        <v>1317</v>
      </c>
      <c r="B536" s="4" t="s">
        <v>1318</v>
      </c>
      <c r="C536" s="4">
        <v>135.8</v>
      </c>
    </row>
    <row r="537" spans="1:3">
      <c r="A537" s="4" t="s">
        <v>1315</v>
      </c>
      <c r="B537" s="4" t="s">
        <v>1316</v>
      </c>
      <c r="C537" s="4">
        <v>658.8</v>
      </c>
    </row>
    <row r="538" spans="1:3">
      <c r="A538" s="4" t="s">
        <v>1321</v>
      </c>
      <c r="B538" s="4" t="s">
        <v>1322</v>
      </c>
      <c r="C538" s="4">
        <v>301.8</v>
      </c>
    </row>
    <row r="539" spans="1:3">
      <c r="A539" s="4" t="s">
        <v>1327</v>
      </c>
      <c r="B539" s="4" t="s">
        <v>1328</v>
      </c>
      <c r="C539" s="4">
        <v>91.5</v>
      </c>
    </row>
    <row r="540" spans="1:3">
      <c r="A540" s="4" t="s">
        <v>1323</v>
      </c>
      <c r="B540" s="4" t="s">
        <v>1324</v>
      </c>
      <c r="C540" s="4">
        <v>138</v>
      </c>
    </row>
    <row r="541" spans="1:3">
      <c r="A541" s="4" t="s">
        <v>1329</v>
      </c>
      <c r="B541" s="4" t="s">
        <v>1330</v>
      </c>
      <c r="C541" s="4">
        <v>10.5</v>
      </c>
    </row>
    <row r="542" spans="1:3">
      <c r="A542" s="4" t="s">
        <v>1339</v>
      </c>
      <c r="B542" s="4" t="s">
        <v>1340</v>
      </c>
      <c r="C542" s="4">
        <v>1.5</v>
      </c>
    </row>
    <row r="543" spans="1:3">
      <c r="A543" s="4" t="s">
        <v>1333</v>
      </c>
      <c r="B543" s="4" t="s">
        <v>1334</v>
      </c>
      <c r="C543" s="4">
        <v>52.8</v>
      </c>
    </row>
    <row r="544" spans="1:3">
      <c r="A544" s="4" t="s">
        <v>1341</v>
      </c>
      <c r="B544" s="4" t="s">
        <v>1342</v>
      </c>
      <c r="C544" s="4">
        <v>126.8</v>
      </c>
    </row>
    <row r="545" spans="1:3">
      <c r="A545" s="4" t="s">
        <v>1343</v>
      </c>
      <c r="B545" s="4" t="s">
        <v>1344</v>
      </c>
      <c r="C545" s="4">
        <v>4</v>
      </c>
    </row>
    <row r="546" spans="1:3">
      <c r="A546" s="4" t="s">
        <v>1347</v>
      </c>
      <c r="B546" s="4" t="s">
        <v>1348</v>
      </c>
      <c r="C546" s="4">
        <v>85</v>
      </c>
    </row>
    <row r="547" spans="1:3">
      <c r="A547" s="4" t="s">
        <v>1349</v>
      </c>
      <c r="B547" s="4" t="s">
        <v>1350</v>
      </c>
      <c r="C547" s="4">
        <v>1293.8</v>
      </c>
    </row>
    <row r="548" spans="1:3">
      <c r="A548" s="4" t="s">
        <v>1361</v>
      </c>
      <c r="B548" s="4" t="s">
        <v>1362</v>
      </c>
      <c r="C548" s="4">
        <v>63.5</v>
      </c>
    </row>
    <row r="549" spans="1:3">
      <c r="A549" s="4" t="s">
        <v>1363</v>
      </c>
      <c r="B549" s="4" t="s">
        <v>1364</v>
      </c>
      <c r="C549" s="4">
        <v>443.8</v>
      </c>
    </row>
    <row r="550" spans="1:3">
      <c r="A550" s="4" t="s">
        <v>1369</v>
      </c>
      <c r="B550" s="4" t="s">
        <v>1370</v>
      </c>
      <c r="C550" s="4">
        <v>173</v>
      </c>
    </row>
    <row r="551" spans="1:3">
      <c r="A551" s="4" t="s">
        <v>1431</v>
      </c>
      <c r="B551" s="4" t="s">
        <v>1432</v>
      </c>
      <c r="C551" s="4">
        <v>14</v>
      </c>
    </row>
    <row r="552" spans="1:3">
      <c r="A552" s="4" t="s">
        <v>1449</v>
      </c>
      <c r="B552" s="4" t="s">
        <v>1450</v>
      </c>
      <c r="C552" s="4">
        <v>6.8</v>
      </c>
    </row>
    <row r="553" spans="1:3">
      <c r="A553" s="4" t="s">
        <v>1365</v>
      </c>
      <c r="B553" s="4" t="s">
        <v>1366</v>
      </c>
      <c r="C553" s="4">
        <v>37.2</v>
      </c>
    </row>
    <row r="554" spans="1:3">
      <c r="A554" s="4" t="s">
        <v>1367</v>
      </c>
      <c r="B554" s="4" t="s">
        <v>1368</v>
      </c>
      <c r="C554" s="4">
        <v>14.5</v>
      </c>
    </row>
    <row r="555" spans="1:3">
      <c r="A555" s="4" t="s">
        <v>1373</v>
      </c>
      <c r="B555" s="4" t="s">
        <v>1374</v>
      </c>
      <c r="C555" s="4">
        <v>2026</v>
      </c>
    </row>
    <row r="556" spans="1:3">
      <c r="A556" s="4" t="s">
        <v>1387</v>
      </c>
      <c r="B556" s="4" t="s">
        <v>1388</v>
      </c>
      <c r="C556" s="4">
        <v>151.8</v>
      </c>
    </row>
    <row r="557" spans="1:3">
      <c r="A557" s="4" t="s">
        <v>1385</v>
      </c>
      <c r="B557" s="4" t="s">
        <v>1386</v>
      </c>
      <c r="C557" s="4">
        <v>47.5</v>
      </c>
    </row>
    <row r="558" spans="1:3">
      <c r="A558" s="4" t="s">
        <v>1389</v>
      </c>
      <c r="B558" s="4" t="s">
        <v>1390</v>
      </c>
      <c r="C558" s="4">
        <v>544.5</v>
      </c>
    </row>
    <row r="559" spans="1:3">
      <c r="A559" s="4" t="s">
        <v>1395</v>
      </c>
      <c r="B559" s="4" t="s">
        <v>1396</v>
      </c>
      <c r="C559" s="4">
        <v>65</v>
      </c>
    </row>
    <row r="560" spans="1:3">
      <c r="A560" s="4" t="s">
        <v>1401</v>
      </c>
      <c r="B560" s="4" t="s">
        <v>1402</v>
      </c>
      <c r="C560" s="4">
        <v>132.2</v>
      </c>
    </row>
    <row r="561" spans="1:3">
      <c r="A561" s="4" t="s">
        <v>1409</v>
      </c>
      <c r="B561" s="4" t="s">
        <v>1410</v>
      </c>
      <c r="C561" s="4">
        <v>30</v>
      </c>
    </row>
    <row r="562" spans="1:3">
      <c r="A562" s="4" t="s">
        <v>1413</v>
      </c>
      <c r="B562" s="4" t="s">
        <v>1414</v>
      </c>
      <c r="C562" s="4">
        <v>3.8</v>
      </c>
    </row>
    <row r="563" spans="1:3">
      <c r="A563" s="4" t="s">
        <v>1415</v>
      </c>
      <c r="B563" s="4" t="s">
        <v>1416</v>
      </c>
      <c r="C563" s="4">
        <v>285</v>
      </c>
    </row>
    <row r="564" spans="1:3">
      <c r="A564" s="4" t="s">
        <v>1419</v>
      </c>
      <c r="B564" s="4" t="s">
        <v>1420</v>
      </c>
      <c r="C564" s="4">
        <v>11</v>
      </c>
    </row>
    <row r="565" spans="1:3">
      <c r="A565" s="4" t="s">
        <v>1423</v>
      </c>
      <c r="B565" s="4" t="s">
        <v>1424</v>
      </c>
      <c r="C565" s="4">
        <v>1324.5</v>
      </c>
    </row>
    <row r="566" spans="1:3">
      <c r="A566" s="4" t="s">
        <v>1429</v>
      </c>
      <c r="B566" s="4" t="s">
        <v>1430</v>
      </c>
      <c r="C566" s="4">
        <v>10.2</v>
      </c>
    </row>
    <row r="567" spans="1:3">
      <c r="A567" s="4" t="s">
        <v>1421</v>
      </c>
      <c r="B567" s="4" t="s">
        <v>1422</v>
      </c>
      <c r="C567" s="4">
        <v>5.5</v>
      </c>
    </row>
    <row r="568" spans="1:3">
      <c r="A568" s="4" t="s">
        <v>1427</v>
      </c>
      <c r="B568" s="4" t="s">
        <v>1428</v>
      </c>
      <c r="C568" s="4">
        <v>59</v>
      </c>
    </row>
    <row r="569" spans="1:3">
      <c r="A569" s="4" t="s">
        <v>1433</v>
      </c>
      <c r="B569" s="4" t="s">
        <v>1434</v>
      </c>
      <c r="C569" s="4">
        <v>7.5</v>
      </c>
    </row>
    <row r="570" spans="1:3">
      <c r="A570" s="4" t="s">
        <v>1435</v>
      </c>
      <c r="B570" s="4" t="s">
        <v>1436</v>
      </c>
      <c r="C570" s="4">
        <v>17</v>
      </c>
    </row>
    <row r="571" spans="1:3">
      <c r="A571" s="4" t="s">
        <v>1441</v>
      </c>
      <c r="B571" s="4" t="s">
        <v>1442</v>
      </c>
      <c r="C571" s="4">
        <v>305.5</v>
      </c>
    </row>
    <row r="572" spans="1:3">
      <c r="A572" s="4" t="s">
        <v>1459</v>
      </c>
      <c r="B572" s="4" t="s">
        <v>1460</v>
      </c>
      <c r="C572" s="4">
        <v>18</v>
      </c>
    </row>
    <row r="573" spans="1:3">
      <c r="A573" s="4" t="s">
        <v>1457</v>
      </c>
      <c r="B573" s="4" t="s">
        <v>1458</v>
      </c>
      <c r="C573" s="4">
        <v>12.8</v>
      </c>
    </row>
    <row r="574" spans="1:3">
      <c r="A574" s="4" t="s">
        <v>1465</v>
      </c>
      <c r="B574" s="4" t="s">
        <v>1466</v>
      </c>
      <c r="C574" s="4">
        <v>77</v>
      </c>
    </row>
    <row r="575" spans="1:3">
      <c r="A575" s="4" t="s">
        <v>1463</v>
      </c>
      <c r="B575" s="4" t="s">
        <v>1464</v>
      </c>
      <c r="C575" s="4">
        <v>1449.2</v>
      </c>
    </row>
    <row r="576" spans="1:3">
      <c r="A576" s="4" t="s">
        <v>1473</v>
      </c>
      <c r="B576" s="4" t="s">
        <v>1474</v>
      </c>
      <c r="C576" s="4">
        <v>68.2</v>
      </c>
    </row>
    <row r="577" spans="1:3">
      <c r="A577" s="4" t="s">
        <v>1475</v>
      </c>
      <c r="B577" s="4" t="s">
        <v>1476</v>
      </c>
      <c r="C577" s="4">
        <v>335.5</v>
      </c>
    </row>
    <row r="578" spans="1:3">
      <c r="A578" s="5" t="s">
        <v>1477</v>
      </c>
      <c r="B578" s="5" t="s">
        <v>1478</v>
      </c>
      <c r="C578" s="5">
        <v>0.5</v>
      </c>
    </row>
    <row r="579" spans="1:3">
      <c r="A579" s="4" t="s">
        <v>1479</v>
      </c>
      <c r="B579" s="4" t="s">
        <v>1480</v>
      </c>
      <c r="C579" s="4">
        <v>2329</v>
      </c>
    </row>
    <row r="580" spans="1:3">
      <c r="A580" s="4" t="s">
        <v>1483</v>
      </c>
      <c r="B580" s="4" t="s">
        <v>1484</v>
      </c>
      <c r="C580" s="4">
        <v>39.2</v>
      </c>
    </row>
    <row r="581" spans="1:3">
      <c r="A581" s="4" t="s">
        <v>1495</v>
      </c>
      <c r="B581" s="4" t="s">
        <v>1496</v>
      </c>
      <c r="C581" s="4">
        <v>190.5</v>
      </c>
    </row>
    <row r="582" spans="1:3">
      <c r="A582" s="4" t="s">
        <v>1497</v>
      </c>
      <c r="B582" s="4" t="s">
        <v>1498</v>
      </c>
      <c r="C582" s="4">
        <v>45.2</v>
      </c>
    </row>
    <row r="583" spans="1:3">
      <c r="A583" s="4" t="s">
        <v>1503</v>
      </c>
      <c r="B583" s="4" t="s">
        <v>1504</v>
      </c>
      <c r="C583" s="4">
        <v>5</v>
      </c>
    </row>
    <row r="584" spans="1:3">
      <c r="A584" s="4" t="s">
        <v>1509</v>
      </c>
      <c r="B584" s="4" t="s">
        <v>1510</v>
      </c>
      <c r="C584" s="4">
        <v>8</v>
      </c>
    </row>
    <row r="585" spans="1:3">
      <c r="A585" s="4" t="s">
        <v>1507</v>
      </c>
      <c r="B585" s="4" t="s">
        <v>1508</v>
      </c>
      <c r="C585" s="4">
        <v>85.8</v>
      </c>
    </row>
    <row r="586" spans="1:3">
      <c r="A586" s="4" t="s">
        <v>1511</v>
      </c>
      <c r="B586" s="4" t="s">
        <v>1512</v>
      </c>
      <c r="C586" s="4">
        <v>506.2</v>
      </c>
    </row>
    <row r="587" spans="1:3">
      <c r="A587" s="4" t="s">
        <v>1525</v>
      </c>
      <c r="B587" s="4" t="s">
        <v>1526</v>
      </c>
      <c r="C587" s="4">
        <v>1.5</v>
      </c>
    </row>
    <row r="588" spans="1:3">
      <c r="A588" s="4" t="s">
        <v>1559</v>
      </c>
      <c r="B588" s="4" t="s">
        <v>1560</v>
      </c>
      <c r="C588" s="4">
        <v>28.2</v>
      </c>
    </row>
    <row r="589" spans="1:3">
      <c r="A589" s="4" t="s">
        <v>2739</v>
      </c>
      <c r="B589" s="4" t="s">
        <v>2740</v>
      </c>
      <c r="C589" s="4">
        <v>6.5</v>
      </c>
    </row>
    <row r="590" spans="1:3">
      <c r="A590" s="4" t="s">
        <v>1517</v>
      </c>
      <c r="B590" s="4" t="s">
        <v>1518</v>
      </c>
      <c r="C590" s="4">
        <v>81.5</v>
      </c>
    </row>
    <row r="591" spans="1:3">
      <c r="A591" s="4" t="s">
        <v>1521</v>
      </c>
      <c r="B591" s="4" t="s">
        <v>1522</v>
      </c>
      <c r="C591" s="4">
        <v>23.8</v>
      </c>
    </row>
    <row r="592" spans="1:3">
      <c r="A592" s="4" t="s">
        <v>1529</v>
      </c>
      <c r="B592" s="4" t="s">
        <v>1530</v>
      </c>
      <c r="C592" s="4">
        <v>167.5</v>
      </c>
    </row>
    <row r="593" spans="1:3">
      <c r="A593" s="4" t="s">
        <v>1535</v>
      </c>
      <c r="B593" s="4" t="s">
        <v>1536</v>
      </c>
      <c r="C593" s="4">
        <v>10.5</v>
      </c>
    </row>
    <row r="594" spans="1:3">
      <c r="A594" s="4" t="s">
        <v>1543</v>
      </c>
      <c r="B594" s="4" t="s">
        <v>1544</v>
      </c>
      <c r="C594" s="4">
        <v>3</v>
      </c>
    </row>
    <row r="595" spans="1:3">
      <c r="A595" s="4" t="s">
        <v>1539</v>
      </c>
      <c r="B595" s="4" t="s">
        <v>1540</v>
      </c>
      <c r="C595" s="4">
        <v>64.2</v>
      </c>
    </row>
    <row r="596" spans="1:3">
      <c r="A596" s="4" t="s">
        <v>1547</v>
      </c>
      <c r="B596" s="4" t="s">
        <v>1548</v>
      </c>
      <c r="C596" s="4">
        <v>101.5</v>
      </c>
    </row>
    <row r="597" spans="1:3">
      <c r="A597" s="4" t="s">
        <v>1553</v>
      </c>
      <c r="B597" s="4" t="s">
        <v>1554</v>
      </c>
      <c r="C597" s="4">
        <v>161.2</v>
      </c>
    </row>
    <row r="598" spans="1:3">
      <c r="A598" s="4" t="s">
        <v>1557</v>
      </c>
      <c r="B598" s="4" t="s">
        <v>1558</v>
      </c>
      <c r="C598" s="4">
        <v>577.8</v>
      </c>
    </row>
    <row r="599" spans="1:3">
      <c r="A599" s="4" t="s">
        <v>1561</v>
      </c>
      <c r="B599" s="4" t="s">
        <v>1562</v>
      </c>
      <c r="C599" s="4">
        <v>154</v>
      </c>
    </row>
    <row r="600" spans="1:3">
      <c r="A600" s="4" t="s">
        <v>1571</v>
      </c>
      <c r="B600" s="4" t="s">
        <v>1572</v>
      </c>
      <c r="C600" s="4">
        <v>157.5</v>
      </c>
    </row>
    <row r="601" spans="1:3">
      <c r="A601" s="4" t="s">
        <v>1575</v>
      </c>
      <c r="B601" s="4" t="s">
        <v>1576</v>
      </c>
      <c r="C601" s="4">
        <v>64.8</v>
      </c>
    </row>
    <row r="602" spans="1:3">
      <c r="A602" s="4" t="s">
        <v>1579</v>
      </c>
      <c r="B602" s="4" t="s">
        <v>1580</v>
      </c>
      <c r="C602" s="4">
        <v>54</v>
      </c>
    </row>
    <row r="603" spans="1:3">
      <c r="A603" s="4" t="s">
        <v>1591</v>
      </c>
      <c r="B603" s="4" t="s">
        <v>1592</v>
      </c>
      <c r="C603" s="4">
        <v>33</v>
      </c>
    </row>
    <row r="604" spans="1:3">
      <c r="A604" s="4" t="s">
        <v>1601</v>
      </c>
      <c r="B604" s="4" t="s">
        <v>1602</v>
      </c>
      <c r="C604" s="4">
        <v>870.2</v>
      </c>
    </row>
    <row r="605" spans="1:3">
      <c r="A605" s="4" t="s">
        <v>1629</v>
      </c>
      <c r="B605" s="4" t="s">
        <v>1630</v>
      </c>
      <c r="C605" s="4">
        <v>905</v>
      </c>
    </row>
    <row r="606" spans="1:3">
      <c r="A606" s="4" t="s">
        <v>1641</v>
      </c>
      <c r="B606" s="4" t="s">
        <v>1642</v>
      </c>
      <c r="C606" s="4">
        <v>2.5</v>
      </c>
    </row>
    <row r="607" spans="1:3">
      <c r="A607" s="4" t="s">
        <v>1671</v>
      </c>
      <c r="B607" s="4" t="s">
        <v>1672</v>
      </c>
      <c r="C607" s="4">
        <v>5</v>
      </c>
    </row>
    <row r="608" spans="1:3">
      <c r="A608" s="4" t="s">
        <v>1631</v>
      </c>
      <c r="B608" s="4" t="s">
        <v>1632</v>
      </c>
      <c r="C608" s="4">
        <v>77</v>
      </c>
    </row>
    <row r="609" spans="1:3">
      <c r="A609" s="4" t="s">
        <v>1633</v>
      </c>
      <c r="B609" s="4" t="s">
        <v>1634</v>
      </c>
      <c r="C609" s="4">
        <v>52.8</v>
      </c>
    </row>
    <row r="610" spans="1:3">
      <c r="A610" s="4" t="s">
        <v>1635</v>
      </c>
      <c r="B610" s="4" t="s">
        <v>1636</v>
      </c>
      <c r="C610" s="4">
        <v>84.2</v>
      </c>
    </row>
    <row r="611" spans="1:3">
      <c r="A611" s="5" t="s">
        <v>1643</v>
      </c>
      <c r="B611" s="5" t="s">
        <v>1644</v>
      </c>
      <c r="C611" s="5">
        <v>0.2</v>
      </c>
    </row>
    <row r="612" spans="1:3">
      <c r="A612" s="4" t="s">
        <v>1653</v>
      </c>
      <c r="B612" s="4" t="s">
        <v>1654</v>
      </c>
      <c r="C612" s="4">
        <v>1.2</v>
      </c>
    </row>
    <row r="613" spans="1:3">
      <c r="A613" s="4" t="s">
        <v>1663</v>
      </c>
      <c r="B613" s="4" t="s">
        <v>1664</v>
      </c>
      <c r="C613" s="4">
        <v>23.5</v>
      </c>
    </row>
    <row r="614" spans="1:3">
      <c r="A614" s="4" t="s">
        <v>1667</v>
      </c>
      <c r="B614" s="4" t="s">
        <v>1668</v>
      </c>
      <c r="C614" s="4">
        <v>190.8</v>
      </c>
    </row>
    <row r="615" spans="1:3">
      <c r="A615" s="4" t="s">
        <v>1669</v>
      </c>
      <c r="B615" s="4" t="s">
        <v>1670</v>
      </c>
      <c r="C615" s="4">
        <v>17.5</v>
      </c>
    </row>
    <row r="616" spans="1:3">
      <c r="A616" s="4" t="s">
        <v>1765</v>
      </c>
      <c r="B616" s="4" t="s">
        <v>1766</v>
      </c>
      <c r="C616" s="4">
        <v>2.2</v>
      </c>
    </row>
    <row r="617" spans="1:3">
      <c r="A617" s="4" t="s">
        <v>1775</v>
      </c>
      <c r="B617" s="4" t="s">
        <v>1776</v>
      </c>
      <c r="C617" s="4">
        <v>10.2</v>
      </c>
    </row>
    <row r="618" spans="1:3">
      <c r="A618" s="4" t="s">
        <v>1683</v>
      </c>
      <c r="B618" s="4" t="s">
        <v>1684</v>
      </c>
      <c r="C618" s="4">
        <v>3.5</v>
      </c>
    </row>
    <row r="619" spans="1:3">
      <c r="A619" s="4" t="s">
        <v>1685</v>
      </c>
      <c r="B619" s="4" t="s">
        <v>1686</v>
      </c>
      <c r="C619" s="4">
        <v>1079.8</v>
      </c>
    </row>
    <row r="620" spans="1:3">
      <c r="A620" s="4" t="s">
        <v>1691</v>
      </c>
      <c r="B620" s="4" t="s">
        <v>1692</v>
      </c>
      <c r="C620" s="4">
        <v>57.8</v>
      </c>
    </row>
    <row r="621" spans="1:3">
      <c r="A621" s="4" t="s">
        <v>1693</v>
      </c>
      <c r="B621" s="4" t="s">
        <v>1694</v>
      </c>
      <c r="C621" s="4">
        <v>19.8</v>
      </c>
    </row>
    <row r="622" spans="1:3">
      <c r="A622" s="4" t="s">
        <v>1703</v>
      </c>
      <c r="B622" s="4" t="s">
        <v>1704</v>
      </c>
      <c r="C622" s="4">
        <v>36</v>
      </c>
    </row>
    <row r="623" spans="1:3">
      <c r="A623" s="4" t="s">
        <v>1705</v>
      </c>
      <c r="B623" s="4" t="s">
        <v>1706</v>
      </c>
      <c r="C623" s="4">
        <v>21</v>
      </c>
    </row>
    <row r="624" spans="1:3">
      <c r="A624" s="4" t="s">
        <v>1701</v>
      </c>
      <c r="B624" s="4" t="s">
        <v>1702</v>
      </c>
      <c r="C624" s="4">
        <v>253.2</v>
      </c>
    </row>
    <row r="625" spans="1:3">
      <c r="A625" s="4" t="s">
        <v>1721</v>
      </c>
      <c r="B625" s="4" t="s">
        <v>1722</v>
      </c>
      <c r="C625" s="4">
        <v>1.5</v>
      </c>
    </row>
    <row r="626" spans="1:3">
      <c r="A626" s="4" t="s">
        <v>1729</v>
      </c>
      <c r="B626" s="4" t="s">
        <v>1730</v>
      </c>
      <c r="C626" s="4">
        <v>164.5</v>
      </c>
    </row>
    <row r="627" spans="1:3">
      <c r="A627" s="4" t="s">
        <v>1731</v>
      </c>
      <c r="B627" s="4" t="s">
        <v>1732</v>
      </c>
      <c r="C627" s="4">
        <v>6.5</v>
      </c>
    </row>
    <row r="628" spans="1:3">
      <c r="A628" s="4" t="s">
        <v>1735</v>
      </c>
      <c r="B628" s="4" t="s">
        <v>1736</v>
      </c>
      <c r="C628" s="4">
        <v>6.2</v>
      </c>
    </row>
    <row r="629" spans="1:3">
      <c r="A629" s="4" t="s">
        <v>1745</v>
      </c>
      <c r="B629" s="4" t="s">
        <v>1746</v>
      </c>
      <c r="C629" s="4">
        <v>126.5</v>
      </c>
    </row>
    <row r="630" spans="1:3">
      <c r="A630" s="4" t="s">
        <v>1747</v>
      </c>
      <c r="B630" s="4" t="s">
        <v>1748</v>
      </c>
      <c r="C630" s="4">
        <v>1171</v>
      </c>
    </row>
    <row r="631" spans="1:3">
      <c r="A631" s="4" t="s">
        <v>1751</v>
      </c>
      <c r="B631" s="4" t="s">
        <v>1752</v>
      </c>
      <c r="C631" s="4">
        <v>291.2</v>
      </c>
    </row>
    <row r="632" spans="1:3">
      <c r="A632" s="4" t="s">
        <v>1755</v>
      </c>
      <c r="B632" s="4" t="s">
        <v>1756</v>
      </c>
      <c r="C632" s="4">
        <v>13</v>
      </c>
    </row>
    <row r="633" spans="1:3">
      <c r="A633" s="4" t="s">
        <v>1769</v>
      </c>
      <c r="B633" s="4" t="s">
        <v>1770</v>
      </c>
      <c r="C633" s="4">
        <v>7.2</v>
      </c>
    </row>
    <row r="634" spans="1:3">
      <c r="A634" s="4" t="s">
        <v>1773</v>
      </c>
      <c r="B634" s="4" t="s">
        <v>1774</v>
      </c>
      <c r="C634" s="4">
        <v>33.5</v>
      </c>
    </row>
    <row r="635" spans="1:3">
      <c r="A635" s="4" t="s">
        <v>1823</v>
      </c>
      <c r="B635" s="4" t="s">
        <v>1824</v>
      </c>
      <c r="C635" s="4">
        <v>114.8</v>
      </c>
    </row>
    <row r="636" spans="1:3">
      <c r="A636" s="4" t="s">
        <v>1815</v>
      </c>
      <c r="B636" s="4" t="s">
        <v>1816</v>
      </c>
      <c r="C636" s="4">
        <v>54.8</v>
      </c>
    </row>
    <row r="637" spans="1:3">
      <c r="A637" s="4" t="s">
        <v>1837</v>
      </c>
      <c r="B637" s="4" t="s">
        <v>1838</v>
      </c>
      <c r="C637" s="4">
        <v>24</v>
      </c>
    </row>
    <row r="638" spans="1:3">
      <c r="A638" s="4" t="s">
        <v>1841</v>
      </c>
      <c r="B638" s="4" t="s">
        <v>1842</v>
      </c>
      <c r="C638" s="4">
        <v>42.2</v>
      </c>
    </row>
    <row r="639" spans="1:3">
      <c r="A639" s="4" t="s">
        <v>1825</v>
      </c>
      <c r="B639" s="4" t="s">
        <v>1826</v>
      </c>
      <c r="C639" s="4">
        <v>107</v>
      </c>
    </row>
    <row r="640" spans="1:3">
      <c r="A640" s="4" t="s">
        <v>1849</v>
      </c>
      <c r="B640" s="4" t="s">
        <v>1850</v>
      </c>
      <c r="C640" s="4">
        <v>427.5</v>
      </c>
    </row>
    <row r="641" spans="1:3">
      <c r="A641" s="4" t="s">
        <v>1831</v>
      </c>
      <c r="B641" s="4" t="s">
        <v>1832</v>
      </c>
      <c r="C641" s="4">
        <v>493.2</v>
      </c>
    </row>
    <row r="642" spans="1:3">
      <c r="A642" s="4" t="s">
        <v>1845</v>
      </c>
      <c r="B642" s="4" t="s">
        <v>1846</v>
      </c>
      <c r="C642" s="4">
        <v>180.2</v>
      </c>
    </row>
    <row r="643" spans="1:3">
      <c r="A643" s="4" t="s">
        <v>1855</v>
      </c>
      <c r="B643" s="4" t="s">
        <v>1856</v>
      </c>
      <c r="C643" s="4">
        <v>18.2</v>
      </c>
    </row>
    <row r="644" spans="1:3">
      <c r="A644" s="4" t="s">
        <v>1857</v>
      </c>
      <c r="B644" s="4" t="s">
        <v>1858</v>
      </c>
      <c r="C644" s="4">
        <v>23.5</v>
      </c>
    </row>
    <row r="645" spans="1:3">
      <c r="A645" s="4" t="s">
        <v>1861</v>
      </c>
      <c r="B645" s="4" t="s">
        <v>1862</v>
      </c>
      <c r="C645" s="4">
        <v>4.2</v>
      </c>
    </row>
    <row r="646" spans="1:3">
      <c r="A646" s="4" t="s">
        <v>1901</v>
      </c>
      <c r="B646" s="4" t="s">
        <v>1902</v>
      </c>
      <c r="C646" s="4">
        <v>4</v>
      </c>
    </row>
    <row r="647" spans="1:3">
      <c r="A647" s="4" t="s">
        <v>1929</v>
      </c>
      <c r="B647" s="4" t="s">
        <v>1930</v>
      </c>
      <c r="C647" s="4">
        <v>15</v>
      </c>
    </row>
    <row r="648" spans="1:3">
      <c r="A648" s="4" t="s">
        <v>1943</v>
      </c>
      <c r="B648" s="4" t="s">
        <v>1944</v>
      </c>
      <c r="C648" s="4">
        <v>24.8</v>
      </c>
    </row>
    <row r="649" spans="1:3">
      <c r="A649" s="4" t="s">
        <v>1947</v>
      </c>
      <c r="B649" s="4" t="s">
        <v>1948</v>
      </c>
      <c r="C649" s="4">
        <v>24.8</v>
      </c>
    </row>
    <row r="650" spans="1:3">
      <c r="A650" s="4" t="s">
        <v>1953</v>
      </c>
      <c r="B650" s="4" t="s">
        <v>1954</v>
      </c>
      <c r="C650" s="4">
        <v>328.5</v>
      </c>
    </row>
    <row r="651" spans="1:3">
      <c r="A651" s="4" t="s">
        <v>1951</v>
      </c>
      <c r="B651" s="4" t="s">
        <v>1952</v>
      </c>
      <c r="C651" s="4">
        <v>320.8</v>
      </c>
    </row>
    <row r="652" spans="1:3">
      <c r="A652" s="4" t="s">
        <v>1983</v>
      </c>
      <c r="B652" s="4" t="s">
        <v>1984</v>
      </c>
      <c r="C652" s="4">
        <v>2.5</v>
      </c>
    </row>
    <row r="653" spans="1:3">
      <c r="A653" s="4" t="s">
        <v>1981</v>
      </c>
      <c r="B653" s="4" t="s">
        <v>1982</v>
      </c>
      <c r="C653" s="4">
        <v>12.2</v>
      </c>
    </row>
    <row r="654" spans="1:3">
      <c r="A654" s="4" t="s">
        <v>1863</v>
      </c>
      <c r="B654" s="4" t="s">
        <v>1864</v>
      </c>
      <c r="C654" s="4">
        <v>1.8</v>
      </c>
    </row>
    <row r="655" spans="1:3">
      <c r="A655" s="4" t="s">
        <v>1865</v>
      </c>
      <c r="B655" s="4" t="s">
        <v>1866</v>
      </c>
      <c r="C655" s="4">
        <v>97.8</v>
      </c>
    </row>
    <row r="656" spans="1:3">
      <c r="A656" s="4" t="s">
        <v>1871</v>
      </c>
      <c r="B656" s="4" t="s">
        <v>1872</v>
      </c>
      <c r="C656" s="4">
        <v>794.8</v>
      </c>
    </row>
    <row r="657" spans="1:3">
      <c r="A657" s="4" t="s">
        <v>1881</v>
      </c>
      <c r="B657" s="4" t="s">
        <v>1882</v>
      </c>
      <c r="C657" s="4">
        <v>25.2</v>
      </c>
    </row>
    <row r="658" spans="1:3">
      <c r="A658" s="4" t="s">
        <v>1885</v>
      </c>
      <c r="B658" s="4" t="s">
        <v>1886</v>
      </c>
      <c r="C658" s="4">
        <v>240.5</v>
      </c>
    </row>
    <row r="659" spans="1:3">
      <c r="A659" s="4" t="s">
        <v>1903</v>
      </c>
      <c r="B659" s="4" t="s">
        <v>1904</v>
      </c>
      <c r="C659" s="4">
        <v>5.5</v>
      </c>
    </row>
    <row r="660" spans="1:3">
      <c r="A660" s="4" t="s">
        <v>1907</v>
      </c>
      <c r="B660" s="4" t="s">
        <v>1908</v>
      </c>
      <c r="C660" s="4">
        <v>74.2</v>
      </c>
    </row>
    <row r="661" spans="1:3">
      <c r="A661" s="4" t="s">
        <v>1915</v>
      </c>
      <c r="B661" s="4" t="s">
        <v>1916</v>
      </c>
      <c r="C661" s="4">
        <v>16.5</v>
      </c>
    </row>
    <row r="662" spans="1:3">
      <c r="A662" s="4" t="s">
        <v>1919</v>
      </c>
      <c r="B662" s="4" t="s">
        <v>1920</v>
      </c>
      <c r="C662" s="4">
        <v>99.2</v>
      </c>
    </row>
    <row r="663" spans="1:3">
      <c r="A663" s="4" t="s">
        <v>1925</v>
      </c>
      <c r="B663" s="4" t="s">
        <v>1926</v>
      </c>
      <c r="C663" s="4">
        <v>304.5</v>
      </c>
    </row>
    <row r="664" spans="1:3">
      <c r="A664" s="4" t="s">
        <v>1935</v>
      </c>
      <c r="B664" s="4" t="s">
        <v>1936</v>
      </c>
      <c r="C664" s="4">
        <v>9.8</v>
      </c>
    </row>
    <row r="665" spans="1:3">
      <c r="A665" s="4" t="s">
        <v>1945</v>
      </c>
      <c r="B665" s="4" t="s">
        <v>1946</v>
      </c>
      <c r="C665" s="4">
        <v>96</v>
      </c>
    </row>
    <row r="666" spans="1:3">
      <c r="A666" s="4" t="s">
        <v>1973</v>
      </c>
      <c r="B666" s="4" t="s">
        <v>1974</v>
      </c>
      <c r="C666" s="4">
        <v>2.2</v>
      </c>
    </row>
    <row r="667" spans="1:3">
      <c r="A667" s="4" t="s">
        <v>1979</v>
      </c>
      <c r="B667" s="4" t="s">
        <v>1980</v>
      </c>
      <c r="C667" s="4">
        <v>4.8</v>
      </c>
    </row>
    <row r="668" spans="1:3">
      <c r="A668" s="4" t="s">
        <v>2031</v>
      </c>
      <c r="B668" s="4" t="s">
        <v>2032</v>
      </c>
      <c r="C668" s="4">
        <v>124.5</v>
      </c>
    </row>
    <row r="669" spans="1:3">
      <c r="A669" s="4" t="s">
        <v>2049</v>
      </c>
      <c r="B669" s="4" t="s">
        <v>2050</v>
      </c>
      <c r="C669" s="4">
        <v>328</v>
      </c>
    </row>
    <row r="670" spans="1:3">
      <c r="A670" s="4" t="s">
        <v>2055</v>
      </c>
      <c r="B670" s="4" t="s">
        <v>2056</v>
      </c>
      <c r="C670" s="4">
        <v>242.8</v>
      </c>
    </row>
    <row r="671" spans="1:3">
      <c r="A671" s="4" t="s">
        <v>2011</v>
      </c>
      <c r="B671" s="4" t="s">
        <v>2012</v>
      </c>
      <c r="C671" s="4">
        <v>10.8</v>
      </c>
    </row>
    <row r="672" spans="1:3">
      <c r="A672" s="4" t="s">
        <v>1997</v>
      </c>
      <c r="B672" s="4" t="s">
        <v>1998</v>
      </c>
      <c r="C672" s="4">
        <v>103.8</v>
      </c>
    </row>
    <row r="673" spans="1:3">
      <c r="A673" s="4" t="s">
        <v>2001</v>
      </c>
      <c r="B673" s="4" t="s">
        <v>2002</v>
      </c>
      <c r="C673" s="4">
        <v>343.8</v>
      </c>
    </row>
    <row r="674" spans="1:3">
      <c r="A674" s="4" t="s">
        <v>2013</v>
      </c>
      <c r="B674" s="4" t="s">
        <v>2014</v>
      </c>
      <c r="C674" s="4">
        <v>8.2</v>
      </c>
    </row>
    <row r="675" spans="1:3">
      <c r="A675" s="4" t="s">
        <v>2015</v>
      </c>
      <c r="B675" s="4" t="s">
        <v>2016</v>
      </c>
      <c r="C675" s="4">
        <v>80.8</v>
      </c>
    </row>
    <row r="676" spans="1:3">
      <c r="A676" s="4" t="s">
        <v>2029</v>
      </c>
      <c r="B676" s="4" t="s">
        <v>2030</v>
      </c>
      <c r="C676" s="4">
        <v>394.8</v>
      </c>
    </row>
    <row r="677" spans="1:3">
      <c r="A677" s="4" t="s">
        <v>2035</v>
      </c>
      <c r="B677" s="4" t="s">
        <v>2036</v>
      </c>
      <c r="C677" s="4">
        <v>96.2</v>
      </c>
    </row>
    <row r="678" spans="1:3">
      <c r="A678" s="4" t="s">
        <v>2039</v>
      </c>
      <c r="B678" s="4" t="s">
        <v>2040</v>
      </c>
      <c r="C678" s="4">
        <v>12.2</v>
      </c>
    </row>
    <row r="679" spans="1:3">
      <c r="A679" s="4" t="s">
        <v>2043</v>
      </c>
      <c r="B679" s="4" t="s">
        <v>2044</v>
      </c>
      <c r="C679" s="4">
        <v>6.8</v>
      </c>
    </row>
    <row r="680" spans="1:3">
      <c r="A680" s="4" t="s">
        <v>2063</v>
      </c>
      <c r="B680" s="4" t="s">
        <v>2064</v>
      </c>
      <c r="C680" s="4">
        <v>590.2</v>
      </c>
    </row>
    <row r="681" spans="1:3">
      <c r="A681" s="4" t="s">
        <v>2079</v>
      </c>
      <c r="B681" s="4" t="s">
        <v>2080</v>
      </c>
      <c r="C681" s="4">
        <v>13.8</v>
      </c>
    </row>
    <row r="682" spans="1:3">
      <c r="A682" s="4" t="s">
        <v>2095</v>
      </c>
      <c r="B682" s="4" t="s">
        <v>2096</v>
      </c>
      <c r="C682" s="4">
        <v>3.2</v>
      </c>
    </row>
    <row r="683" spans="1:3">
      <c r="A683" s="4" t="s">
        <v>2091</v>
      </c>
      <c r="B683" s="4" t="s">
        <v>2092</v>
      </c>
      <c r="C683" s="4">
        <v>46.2</v>
      </c>
    </row>
    <row r="684" spans="1:3">
      <c r="A684" s="4" t="s">
        <v>2099</v>
      </c>
      <c r="B684" s="4" t="s">
        <v>2100</v>
      </c>
      <c r="C684" s="4">
        <v>106</v>
      </c>
    </row>
    <row r="685" spans="1:3">
      <c r="A685" s="4" t="s">
        <v>2101</v>
      </c>
      <c r="B685" s="4" t="s">
        <v>2102</v>
      </c>
      <c r="C685" s="4">
        <v>33.8</v>
      </c>
    </row>
    <row r="686" spans="1:3">
      <c r="A686" s="4" t="s">
        <v>2105</v>
      </c>
      <c r="B686" s="4" t="s">
        <v>2106</v>
      </c>
      <c r="C686" s="4">
        <v>826</v>
      </c>
    </row>
    <row r="687" spans="1:3">
      <c r="A687" s="4" t="s">
        <v>2107</v>
      </c>
      <c r="B687" s="4" t="s">
        <v>2108</v>
      </c>
      <c r="C687" s="4">
        <v>15.2</v>
      </c>
    </row>
    <row r="688" spans="1:3">
      <c r="A688" s="4" t="s">
        <v>2109</v>
      </c>
      <c r="B688" s="4" t="s">
        <v>2110</v>
      </c>
      <c r="C688" s="4">
        <v>238.8</v>
      </c>
    </row>
    <row r="689" spans="1:3">
      <c r="A689" s="4" t="s">
        <v>2123</v>
      </c>
      <c r="B689" s="4" t="s">
        <v>2124</v>
      </c>
      <c r="C689" s="4">
        <v>413.5</v>
      </c>
    </row>
    <row r="690" spans="1:3">
      <c r="A690" s="4" t="s">
        <v>2129</v>
      </c>
      <c r="B690" s="4" t="s">
        <v>2130</v>
      </c>
      <c r="C690" s="4">
        <v>624.5</v>
      </c>
    </row>
    <row r="691" spans="1:3">
      <c r="A691" s="4" t="s">
        <v>2141</v>
      </c>
      <c r="B691" s="4" t="s">
        <v>2142</v>
      </c>
      <c r="C691" s="4">
        <v>35.2</v>
      </c>
    </row>
    <row r="692" spans="1:3">
      <c r="A692" s="4" t="s">
        <v>2149</v>
      </c>
      <c r="B692" s="4" t="s">
        <v>2150</v>
      </c>
      <c r="C692" s="4">
        <v>122.5</v>
      </c>
    </row>
    <row r="693" spans="1:3">
      <c r="A693" s="4" t="s">
        <v>2167</v>
      </c>
      <c r="B693" s="4" t="s">
        <v>2168</v>
      </c>
      <c r="C693" s="4">
        <v>165</v>
      </c>
    </row>
    <row r="694" spans="1:3">
      <c r="A694" s="4" t="s">
        <v>2169</v>
      </c>
      <c r="B694" s="4" t="s">
        <v>2170</v>
      </c>
      <c r="C694" s="4">
        <v>3.8</v>
      </c>
    </row>
    <row r="695" spans="1:3">
      <c r="A695" s="4" t="s">
        <v>2175</v>
      </c>
      <c r="B695" s="4" t="s">
        <v>2176</v>
      </c>
      <c r="C695" s="4">
        <v>257.2</v>
      </c>
    </row>
    <row r="696" spans="1:3">
      <c r="A696" s="4" t="s">
        <v>2179</v>
      </c>
      <c r="B696" s="4" t="s">
        <v>2180</v>
      </c>
      <c r="C696" s="4">
        <v>731</v>
      </c>
    </row>
    <row r="697" spans="1:3">
      <c r="A697" s="4" t="s">
        <v>2189</v>
      </c>
      <c r="B697" s="4" t="s">
        <v>2190</v>
      </c>
      <c r="C697" s="4">
        <v>36.8</v>
      </c>
    </row>
    <row r="698" spans="1:3">
      <c r="A698" s="4" t="s">
        <v>2193</v>
      </c>
      <c r="B698" s="4" t="s">
        <v>2194</v>
      </c>
      <c r="C698" s="4">
        <v>8.2</v>
      </c>
    </row>
    <row r="699" spans="1:3">
      <c r="A699" s="4" t="s">
        <v>2203</v>
      </c>
      <c r="B699" s="4" t="s">
        <v>2204</v>
      </c>
      <c r="C699" s="4">
        <v>55.2</v>
      </c>
    </row>
    <row r="700" spans="1:3">
      <c r="A700" s="4" t="s">
        <v>2211</v>
      </c>
      <c r="B700" s="4" t="s">
        <v>2212</v>
      </c>
      <c r="C700" s="4">
        <v>4.2</v>
      </c>
    </row>
    <row r="701" spans="1:3">
      <c r="A701" s="4" t="s">
        <v>2215</v>
      </c>
      <c r="B701" s="4" t="s">
        <v>2216</v>
      </c>
      <c r="C701" s="4">
        <v>9.5</v>
      </c>
    </row>
    <row r="702" spans="1:3">
      <c r="A702" s="4" t="s">
        <v>2219</v>
      </c>
      <c r="B702" s="4" t="s">
        <v>2220</v>
      </c>
      <c r="C702" s="4">
        <v>157.2</v>
      </c>
    </row>
    <row r="703" spans="1:3">
      <c r="A703" s="4" t="s">
        <v>2261</v>
      </c>
      <c r="B703" s="4" t="s">
        <v>2262</v>
      </c>
      <c r="C703" s="4">
        <v>3.8</v>
      </c>
    </row>
    <row r="704" spans="1:3">
      <c r="A704" s="4" t="s">
        <v>2277</v>
      </c>
      <c r="B704" s="4" t="s">
        <v>2278</v>
      </c>
      <c r="C704" s="4">
        <v>7.5</v>
      </c>
    </row>
    <row r="705" spans="1:3">
      <c r="A705" s="4" t="s">
        <v>2347</v>
      </c>
      <c r="B705" s="4" t="s">
        <v>2348</v>
      </c>
      <c r="C705" s="4">
        <v>123.2</v>
      </c>
    </row>
    <row r="706" spans="1:3">
      <c r="A706" s="4" t="s">
        <v>2361</v>
      </c>
      <c r="B706" s="4" t="s">
        <v>2362</v>
      </c>
      <c r="C706" s="4">
        <v>4</v>
      </c>
    </row>
    <row r="707" spans="1:3">
      <c r="A707" s="4" t="s">
        <v>2375</v>
      </c>
      <c r="B707" s="4" t="s">
        <v>2376</v>
      </c>
      <c r="C707" s="4">
        <v>68.5</v>
      </c>
    </row>
    <row r="708" spans="1:3">
      <c r="A708" s="4" t="s">
        <v>2227</v>
      </c>
      <c r="B708" s="4" t="s">
        <v>2228</v>
      </c>
      <c r="C708" s="4">
        <v>23.2</v>
      </c>
    </row>
    <row r="709" spans="1:3">
      <c r="A709" s="4" t="s">
        <v>2241</v>
      </c>
      <c r="B709" s="4" t="s">
        <v>2242</v>
      </c>
      <c r="C709" s="4">
        <v>999</v>
      </c>
    </row>
    <row r="710" spans="1:3">
      <c r="A710" s="4" t="s">
        <v>2253</v>
      </c>
      <c r="B710" s="4" t="s">
        <v>2254</v>
      </c>
      <c r="C710" s="4">
        <v>51.2</v>
      </c>
    </row>
    <row r="711" spans="1:3">
      <c r="A711" s="4" t="s">
        <v>2255</v>
      </c>
      <c r="B711" s="4" t="s">
        <v>2256</v>
      </c>
      <c r="C711" s="4">
        <v>218.5</v>
      </c>
    </row>
    <row r="712" spans="1:3">
      <c r="A712" s="4" t="s">
        <v>2263</v>
      </c>
      <c r="B712" s="4" t="s">
        <v>2264</v>
      </c>
      <c r="C712" s="4">
        <v>5.8</v>
      </c>
    </row>
    <row r="713" spans="1:3">
      <c r="A713" s="4" t="s">
        <v>2279</v>
      </c>
      <c r="B713" s="4" t="s">
        <v>2280</v>
      </c>
      <c r="C713" s="4">
        <v>2.5</v>
      </c>
    </row>
    <row r="714" spans="1:3">
      <c r="A714" s="4" t="s">
        <v>2291</v>
      </c>
      <c r="B714" s="4" t="s">
        <v>2292</v>
      </c>
      <c r="C714" s="4">
        <v>1.2</v>
      </c>
    </row>
    <row r="715" spans="1:3">
      <c r="A715" s="4" t="s">
        <v>2305</v>
      </c>
      <c r="B715" s="4" t="s">
        <v>2306</v>
      </c>
      <c r="C715" s="4">
        <v>126.2</v>
      </c>
    </row>
    <row r="716" spans="1:3">
      <c r="A716" s="4" t="s">
        <v>2307</v>
      </c>
      <c r="B716" s="4" t="s">
        <v>2308</v>
      </c>
      <c r="C716" s="4">
        <v>4646.2</v>
      </c>
    </row>
    <row r="717" spans="1:3">
      <c r="A717" s="4" t="s">
        <v>2317</v>
      </c>
      <c r="B717" s="4" t="s">
        <v>2318</v>
      </c>
      <c r="C717" s="4">
        <v>33.2</v>
      </c>
    </row>
    <row r="718" spans="1:3">
      <c r="A718" s="4" t="s">
        <v>2319</v>
      </c>
      <c r="B718" s="4" t="s">
        <v>2320</v>
      </c>
      <c r="C718" s="4">
        <v>85.5</v>
      </c>
    </row>
    <row r="719" spans="1:3">
      <c r="A719" s="4" t="s">
        <v>2325</v>
      </c>
      <c r="B719" s="4" t="s">
        <v>2326</v>
      </c>
      <c r="C719" s="4">
        <v>93.5</v>
      </c>
    </row>
    <row r="720" spans="1:3">
      <c r="A720" s="4" t="s">
        <v>2335</v>
      </c>
      <c r="B720" s="4" t="s">
        <v>2336</v>
      </c>
      <c r="C720" s="4">
        <v>285.8</v>
      </c>
    </row>
    <row r="721" spans="1:3">
      <c r="A721" s="4" t="s">
        <v>2339</v>
      </c>
      <c r="B721" s="4" t="s">
        <v>2340</v>
      </c>
      <c r="C721" s="4">
        <v>785.5</v>
      </c>
    </row>
    <row r="722" spans="1:3">
      <c r="A722" s="4" t="s">
        <v>2359</v>
      </c>
      <c r="B722" s="4" t="s">
        <v>2360</v>
      </c>
      <c r="C722" s="4">
        <v>31.5</v>
      </c>
    </row>
    <row r="723" spans="1:3">
      <c r="A723" s="4" t="s">
        <v>2357</v>
      </c>
      <c r="B723" s="4" t="s">
        <v>2358</v>
      </c>
      <c r="C723" s="4">
        <v>17.2</v>
      </c>
    </row>
    <row r="724" spans="1:3">
      <c r="A724" s="4" t="s">
        <v>2371</v>
      </c>
      <c r="B724" s="4" t="s">
        <v>2372</v>
      </c>
      <c r="C724" s="4">
        <v>38</v>
      </c>
    </row>
    <row r="725" spans="1:3">
      <c r="A725" s="4" t="s">
        <v>2405</v>
      </c>
      <c r="B725" s="4" t="s">
        <v>2406</v>
      </c>
      <c r="C725" s="4">
        <v>167.5</v>
      </c>
    </row>
    <row r="726" spans="1:3">
      <c r="A726" s="4" t="s">
        <v>2431</v>
      </c>
      <c r="B726" s="4" t="s">
        <v>2432</v>
      </c>
      <c r="C726" s="4">
        <v>35.5</v>
      </c>
    </row>
    <row r="727" spans="1:3">
      <c r="A727" s="4" t="s">
        <v>2383</v>
      </c>
      <c r="B727" s="4" t="s">
        <v>2384</v>
      </c>
      <c r="C727" s="4">
        <v>22.8</v>
      </c>
    </row>
    <row r="728" spans="1:3">
      <c r="A728" s="4" t="s">
        <v>2413</v>
      </c>
      <c r="B728" s="4" t="s">
        <v>2414</v>
      </c>
      <c r="C728" s="4">
        <v>163</v>
      </c>
    </row>
    <row r="729" spans="1:3">
      <c r="A729" s="4" t="s">
        <v>2407</v>
      </c>
      <c r="B729" s="4" t="s">
        <v>2408</v>
      </c>
      <c r="C729" s="4">
        <v>8.8</v>
      </c>
    </row>
    <row r="730" spans="1:3">
      <c r="A730" s="4" t="s">
        <v>2417</v>
      </c>
      <c r="B730" s="4" t="s">
        <v>2418</v>
      </c>
      <c r="C730" s="4">
        <v>38</v>
      </c>
    </row>
    <row r="731" spans="1:3">
      <c r="A731" s="4" t="s">
        <v>2423</v>
      </c>
      <c r="B731" s="4" t="s">
        <v>2424</v>
      </c>
      <c r="C731" s="4">
        <v>78.5</v>
      </c>
    </row>
    <row r="732" spans="1:3">
      <c r="A732" s="4" t="s">
        <v>2427</v>
      </c>
      <c r="B732" s="4" t="s">
        <v>2428</v>
      </c>
      <c r="C732" s="4">
        <v>1980</v>
      </c>
    </row>
    <row r="733" spans="1:3">
      <c r="A733" s="4" t="s">
        <v>2429</v>
      </c>
      <c r="B733" s="4" t="s">
        <v>2430</v>
      </c>
      <c r="C733" s="4">
        <v>275.5</v>
      </c>
    </row>
    <row r="734" spans="1:3">
      <c r="A734" s="4" t="s">
        <v>2441</v>
      </c>
      <c r="B734" s="4" t="s">
        <v>2442</v>
      </c>
      <c r="C734" s="4">
        <v>2.2</v>
      </c>
    </row>
    <row r="735" spans="1:3">
      <c r="A735" s="4" t="s">
        <v>2439</v>
      </c>
      <c r="B735" s="4" t="s">
        <v>2440</v>
      </c>
      <c r="C735" s="4">
        <v>257.8</v>
      </c>
    </row>
    <row r="736" spans="1:3">
      <c r="A736" s="4" t="s">
        <v>2447</v>
      </c>
      <c r="B736" s="4" t="s">
        <v>2448</v>
      </c>
      <c r="C736" s="4">
        <v>35.5</v>
      </c>
    </row>
    <row r="737" spans="1:3">
      <c r="A737" s="4" t="s">
        <v>2467</v>
      </c>
      <c r="B737" s="4" t="s">
        <v>2468</v>
      </c>
      <c r="C737" s="4">
        <v>103</v>
      </c>
    </row>
    <row r="738" spans="1:3">
      <c r="A738" s="4" t="s">
        <v>2475</v>
      </c>
      <c r="B738" s="4" t="s">
        <v>2476</v>
      </c>
      <c r="C738" s="4">
        <v>36.5</v>
      </c>
    </row>
    <row r="739" spans="1:3">
      <c r="A739" s="5" t="s">
        <v>2473</v>
      </c>
      <c r="B739" s="5" t="s">
        <v>2474</v>
      </c>
      <c r="C739" s="5">
        <v>0.2</v>
      </c>
    </row>
    <row r="740" spans="1:3">
      <c r="A740" s="4" t="s">
        <v>2477</v>
      </c>
      <c r="B740" s="4" t="s">
        <v>2478</v>
      </c>
      <c r="C740" s="4">
        <v>14</v>
      </c>
    </row>
    <row r="741" spans="1:3">
      <c r="A741" s="4" t="s">
        <v>2483</v>
      </c>
      <c r="B741" s="4" t="s">
        <v>2484</v>
      </c>
      <c r="C741" s="4">
        <v>7.8</v>
      </c>
    </row>
    <row r="742" spans="1:3">
      <c r="A742" s="4" t="s">
        <v>2485</v>
      </c>
      <c r="B742" s="4" t="s">
        <v>2486</v>
      </c>
      <c r="C742" s="4">
        <v>28.2</v>
      </c>
    </row>
    <row r="743" spans="1:3">
      <c r="A743" s="4" t="s">
        <v>2489</v>
      </c>
      <c r="B743" s="4" t="s">
        <v>2490</v>
      </c>
      <c r="C743" s="4">
        <v>12</v>
      </c>
    </row>
    <row r="744" spans="1:3">
      <c r="A744" s="4" t="s">
        <v>2493</v>
      </c>
      <c r="B744" s="4" t="s">
        <v>2494</v>
      </c>
      <c r="C744" s="4">
        <v>2.8</v>
      </c>
    </row>
    <row r="745" spans="1:3">
      <c r="A745" s="5" t="s">
        <v>2497</v>
      </c>
      <c r="B745" s="5" t="s">
        <v>2498</v>
      </c>
      <c r="C745" s="5">
        <v>0.5</v>
      </c>
    </row>
    <row r="746" spans="1:3">
      <c r="A746" s="4" t="s">
        <v>2511</v>
      </c>
      <c r="B746" s="4" t="s">
        <v>2512</v>
      </c>
      <c r="C746" s="4">
        <v>178.5</v>
      </c>
    </row>
    <row r="747" spans="1:3">
      <c r="A747" s="4" t="s">
        <v>2519</v>
      </c>
      <c r="B747" s="4" t="s">
        <v>2520</v>
      </c>
      <c r="C747" s="4">
        <v>1.8</v>
      </c>
    </row>
    <row r="748" spans="1:3">
      <c r="A748" s="4" t="s">
        <v>2463</v>
      </c>
      <c r="B748" s="4" t="s">
        <v>2464</v>
      </c>
      <c r="C748" s="4">
        <v>60.2</v>
      </c>
    </row>
    <row r="749" spans="1:3">
      <c r="A749" s="4" t="s">
        <v>2529</v>
      </c>
      <c r="B749" s="4" t="s">
        <v>2530</v>
      </c>
      <c r="C749" s="4">
        <v>823</v>
      </c>
    </row>
    <row r="750" spans="1:3">
      <c r="A750" s="4" t="s">
        <v>2531</v>
      </c>
      <c r="B750" s="4" t="s">
        <v>2532</v>
      </c>
      <c r="C750" s="4">
        <v>43.2</v>
      </c>
    </row>
    <row r="751" spans="1:3">
      <c r="A751" s="4" t="s">
        <v>2551</v>
      </c>
      <c r="B751" s="4" t="s">
        <v>2552</v>
      </c>
      <c r="C751" s="4">
        <v>26</v>
      </c>
    </row>
    <row r="752" spans="1:3">
      <c r="A752" s="4" t="s">
        <v>2553</v>
      </c>
      <c r="B752" s="4" t="s">
        <v>2554</v>
      </c>
      <c r="C752" s="4">
        <v>89.2</v>
      </c>
    </row>
    <row r="753" spans="1:3">
      <c r="A753" s="4" t="s">
        <v>2557</v>
      </c>
      <c r="B753" s="4" t="s">
        <v>2558</v>
      </c>
      <c r="C753" s="4">
        <v>28.2</v>
      </c>
    </row>
    <row r="754" spans="1:3">
      <c r="A754" s="4" t="s">
        <v>2571</v>
      </c>
      <c r="B754" s="4" t="s">
        <v>2572</v>
      </c>
      <c r="C754" s="4">
        <v>238.2</v>
      </c>
    </row>
    <row r="755" spans="1:3">
      <c r="A755" s="4" t="s">
        <v>2573</v>
      </c>
      <c r="B755" s="4" t="s">
        <v>2574</v>
      </c>
      <c r="C755" s="4">
        <v>83.2</v>
      </c>
    </row>
    <row r="756" spans="1:3">
      <c r="A756" s="4" t="s">
        <v>2577</v>
      </c>
      <c r="B756" s="4" t="s">
        <v>2578</v>
      </c>
      <c r="C756" s="4">
        <v>81</v>
      </c>
    </row>
    <row r="757" spans="1:3">
      <c r="A757" s="4" t="s">
        <v>2575</v>
      </c>
      <c r="B757" s="4" t="s">
        <v>2576</v>
      </c>
      <c r="C757" s="4">
        <v>10.8</v>
      </c>
    </row>
    <row r="758" spans="1:3">
      <c r="A758" s="4" t="s">
        <v>2561</v>
      </c>
      <c r="B758" s="4" t="s">
        <v>2562</v>
      </c>
      <c r="C758" s="4">
        <v>46</v>
      </c>
    </row>
    <row r="759" spans="1:3">
      <c r="A759" s="4" t="s">
        <v>2567</v>
      </c>
      <c r="B759" s="4" t="s">
        <v>2568</v>
      </c>
      <c r="C759" s="4">
        <v>354.2</v>
      </c>
    </row>
    <row r="760" spans="1:3">
      <c r="A760" s="4" t="s">
        <v>2569</v>
      </c>
      <c r="B760" s="4" t="s">
        <v>2570</v>
      </c>
      <c r="C760" s="4">
        <v>125</v>
      </c>
    </row>
    <row r="761" spans="1:3">
      <c r="A761" s="4" t="s">
        <v>2579</v>
      </c>
      <c r="B761" s="4" t="s">
        <v>2580</v>
      </c>
      <c r="C761" s="4">
        <v>11</v>
      </c>
    </row>
    <row r="762" spans="1:3">
      <c r="A762" s="4" t="s">
        <v>2583</v>
      </c>
      <c r="B762" s="4" t="s">
        <v>2584</v>
      </c>
      <c r="C762" s="4">
        <v>2</v>
      </c>
    </row>
    <row r="763" spans="1:3">
      <c r="A763" s="4" t="s">
        <v>2581</v>
      </c>
      <c r="B763" s="4" t="s">
        <v>2582</v>
      </c>
      <c r="C763" s="4">
        <v>65.2</v>
      </c>
    </row>
    <row r="764" spans="1:3">
      <c r="A764" s="4" t="s">
        <v>2591</v>
      </c>
      <c r="B764" s="4" t="s">
        <v>2592</v>
      </c>
      <c r="C764" s="4">
        <v>31.5</v>
      </c>
    </row>
    <row r="765" spans="1:3">
      <c r="A765" s="5" t="s">
        <v>2593</v>
      </c>
      <c r="B765" s="5" t="s">
        <v>2594</v>
      </c>
      <c r="C765" s="5">
        <v>0.5</v>
      </c>
    </row>
    <row r="766" spans="1:3">
      <c r="A766" s="4" t="s">
        <v>2605</v>
      </c>
      <c r="B766" s="4" t="s">
        <v>2606</v>
      </c>
      <c r="C766" s="4">
        <v>254.5</v>
      </c>
    </row>
    <row r="767" spans="1:3">
      <c r="A767" s="4" t="s">
        <v>2609</v>
      </c>
      <c r="B767" s="4" t="s">
        <v>2610</v>
      </c>
      <c r="C767" s="4">
        <v>87.8</v>
      </c>
    </row>
    <row r="768" spans="1:3">
      <c r="A768" s="4" t="s">
        <v>2663</v>
      </c>
      <c r="B768" s="4" t="s">
        <v>2664</v>
      </c>
      <c r="C768" s="4">
        <v>87.2</v>
      </c>
    </row>
    <row r="769" spans="1:3">
      <c r="A769" s="4" t="s">
        <v>2619</v>
      </c>
      <c r="B769" s="4" t="s">
        <v>2620</v>
      </c>
      <c r="C769" s="4">
        <v>119</v>
      </c>
    </row>
    <row r="770" spans="1:3">
      <c r="A770" s="4" t="s">
        <v>2621</v>
      </c>
      <c r="B770" s="4" t="s">
        <v>2622</v>
      </c>
      <c r="C770" s="4">
        <v>151.2</v>
      </c>
    </row>
    <row r="771" spans="1:3">
      <c r="A771" s="4" t="s">
        <v>2625</v>
      </c>
      <c r="B771" s="4" t="s">
        <v>2626</v>
      </c>
      <c r="C771" s="4">
        <v>397.2</v>
      </c>
    </row>
    <row r="772" spans="1:3">
      <c r="A772" s="4" t="s">
        <v>2641</v>
      </c>
      <c r="B772" s="4" t="s">
        <v>2642</v>
      </c>
      <c r="C772" s="4">
        <v>3</v>
      </c>
    </row>
    <row r="773" spans="1:3">
      <c r="A773" s="4" t="s">
        <v>2653</v>
      </c>
      <c r="B773" s="4" t="s">
        <v>2654</v>
      </c>
      <c r="C773" s="4">
        <v>131.8</v>
      </c>
    </row>
    <row r="774" spans="1:3">
      <c r="A774" s="4" t="s">
        <v>2649</v>
      </c>
      <c r="B774" s="4" t="s">
        <v>2650</v>
      </c>
      <c r="C774" s="4">
        <v>118.8</v>
      </c>
    </row>
    <row r="775" spans="1:3">
      <c r="A775" s="4" t="s">
        <v>2655</v>
      </c>
      <c r="B775" s="4" t="s">
        <v>2656</v>
      </c>
      <c r="C775" s="4">
        <v>42</v>
      </c>
    </row>
    <row r="776" spans="1:3">
      <c r="A776" s="4" t="s">
        <v>2659</v>
      </c>
      <c r="B776" s="4" t="s">
        <v>2660</v>
      </c>
      <c r="C776" s="4">
        <v>80.8</v>
      </c>
    </row>
    <row r="777" spans="1:3">
      <c r="A777" s="4" t="s">
        <v>2667</v>
      </c>
      <c r="B777" s="4" t="s">
        <v>2668</v>
      </c>
      <c r="C777" s="4">
        <v>7.5</v>
      </c>
    </row>
    <row r="778" spans="1:3">
      <c r="A778" s="4" t="s">
        <v>31</v>
      </c>
      <c r="B778" s="4" t="s">
        <v>32</v>
      </c>
      <c r="C778" s="4">
        <v>3.5</v>
      </c>
    </row>
    <row r="779" spans="1:3">
      <c r="A779" s="4" t="s">
        <v>97</v>
      </c>
      <c r="B779" s="4" t="s">
        <v>98</v>
      </c>
      <c r="C779" s="4">
        <v>19</v>
      </c>
    </row>
    <row r="780" spans="1:3">
      <c r="A780" s="4" t="s">
        <v>2696</v>
      </c>
      <c r="B780" s="4" t="s">
        <v>2697</v>
      </c>
      <c r="C780" s="4">
        <v>37.5</v>
      </c>
    </row>
    <row r="781" spans="1:3">
      <c r="A781" s="4" t="s">
        <v>93</v>
      </c>
      <c r="B781" s="4" t="s">
        <v>94</v>
      </c>
      <c r="C781" s="4">
        <v>5.2</v>
      </c>
    </row>
    <row r="782" spans="1:3">
      <c r="A782" s="4" t="s">
        <v>89</v>
      </c>
      <c r="B782" s="4" t="s">
        <v>90</v>
      </c>
      <c r="C782" s="4">
        <v>48.5</v>
      </c>
    </row>
    <row r="783" spans="1:3">
      <c r="A783" s="4" t="s">
        <v>101</v>
      </c>
      <c r="B783" s="4" t="s">
        <v>102</v>
      </c>
      <c r="C783" s="4">
        <v>2.8</v>
      </c>
    </row>
    <row r="784" spans="1:3">
      <c r="A784" s="5" t="s">
        <v>165</v>
      </c>
      <c r="B784" s="5" t="s">
        <v>166</v>
      </c>
      <c r="C784" s="5">
        <v>0.2</v>
      </c>
    </row>
    <row r="785" spans="1:3">
      <c r="A785" s="5" t="s">
        <v>197</v>
      </c>
      <c r="B785" s="5" t="s">
        <v>198</v>
      </c>
      <c r="C785" s="5">
        <v>0.2</v>
      </c>
    </row>
    <row r="786" spans="1:3">
      <c r="A786" s="4" t="s">
        <v>213</v>
      </c>
      <c r="B786" s="4" t="s">
        <v>214</v>
      </c>
      <c r="C786" s="4">
        <v>4.2</v>
      </c>
    </row>
    <row r="787" spans="1:3">
      <c r="A787" s="4" t="s">
        <v>215</v>
      </c>
      <c r="B787" s="4" t="s">
        <v>216</v>
      </c>
      <c r="C787" s="4">
        <v>4</v>
      </c>
    </row>
    <row r="788" spans="1:3">
      <c r="A788" s="4" t="s">
        <v>241</v>
      </c>
      <c r="B788" s="4" t="s">
        <v>242</v>
      </c>
      <c r="C788" s="4">
        <v>2.8</v>
      </c>
    </row>
    <row r="789" spans="1:3">
      <c r="A789" s="5" t="s">
        <v>251</v>
      </c>
      <c r="B789" s="5" t="s">
        <v>252</v>
      </c>
      <c r="C789" s="5">
        <v>0.2</v>
      </c>
    </row>
    <row r="790" spans="1:3">
      <c r="A790" s="5" t="s">
        <v>2741</v>
      </c>
      <c r="B790" s="5" t="s">
        <v>2742</v>
      </c>
      <c r="C790" s="5">
        <v>0.2</v>
      </c>
    </row>
    <row r="791" spans="1:3">
      <c r="A791" s="4" t="s">
        <v>279</v>
      </c>
      <c r="B791" s="4" t="s">
        <v>280</v>
      </c>
      <c r="C791" s="4">
        <v>3.2</v>
      </c>
    </row>
    <row r="792" spans="1:3">
      <c r="A792" s="4" t="s">
        <v>291</v>
      </c>
      <c r="B792" s="4" t="s">
        <v>292</v>
      </c>
      <c r="C792" s="4">
        <v>1</v>
      </c>
    </row>
    <row r="793" spans="1:3">
      <c r="A793" s="5" t="s">
        <v>305</v>
      </c>
      <c r="B793" s="5" t="s">
        <v>306</v>
      </c>
      <c r="C793" s="5">
        <v>0.8</v>
      </c>
    </row>
    <row r="794" spans="1:3">
      <c r="A794" s="4" t="s">
        <v>319</v>
      </c>
      <c r="B794" s="4" t="s">
        <v>320</v>
      </c>
      <c r="C794" s="4">
        <v>223.8</v>
      </c>
    </row>
    <row r="795" spans="1:3">
      <c r="A795" s="4" t="s">
        <v>345</v>
      </c>
      <c r="B795" s="4" t="s">
        <v>346</v>
      </c>
      <c r="C795" s="4">
        <v>4.8</v>
      </c>
    </row>
    <row r="796" spans="1:3">
      <c r="A796" s="4" t="s">
        <v>411</v>
      </c>
      <c r="B796" s="4" t="s">
        <v>412</v>
      </c>
      <c r="C796" s="4">
        <v>14.8</v>
      </c>
    </row>
    <row r="797" spans="1:3">
      <c r="A797" s="4" t="s">
        <v>373</v>
      </c>
      <c r="B797" s="4" t="s">
        <v>374</v>
      </c>
      <c r="C797" s="4">
        <v>3.5</v>
      </c>
    </row>
    <row r="798" spans="1:3">
      <c r="A798" s="4" t="s">
        <v>439</v>
      </c>
      <c r="B798" s="4" t="s">
        <v>440</v>
      </c>
      <c r="C798" s="4">
        <v>97.8</v>
      </c>
    </row>
    <row r="799" spans="1:3">
      <c r="A799" s="4" t="s">
        <v>449</v>
      </c>
      <c r="B799" s="4" t="s">
        <v>450</v>
      </c>
      <c r="C799" s="4">
        <v>2.2</v>
      </c>
    </row>
    <row r="800" spans="1:3">
      <c r="A800" s="5" t="s">
        <v>455</v>
      </c>
      <c r="B800" s="5" t="s">
        <v>456</v>
      </c>
      <c r="C800" s="5">
        <v>0.8</v>
      </c>
    </row>
    <row r="801" spans="1:3">
      <c r="A801" s="4" t="s">
        <v>473</v>
      </c>
      <c r="B801" s="4" t="s">
        <v>474</v>
      </c>
      <c r="C801" s="4">
        <v>26</v>
      </c>
    </row>
    <row r="802" spans="1:3">
      <c r="A802" s="4" t="s">
        <v>483</v>
      </c>
      <c r="B802" s="4" t="s">
        <v>484</v>
      </c>
      <c r="C802" s="4">
        <v>2</v>
      </c>
    </row>
    <row r="803" spans="1:3">
      <c r="A803" s="5" t="s">
        <v>485</v>
      </c>
      <c r="B803" s="5" t="s">
        <v>486</v>
      </c>
      <c r="C803" s="5">
        <v>0.2</v>
      </c>
    </row>
    <row r="804" spans="1:3">
      <c r="A804" s="4" t="s">
        <v>495</v>
      </c>
      <c r="B804" s="4" t="s">
        <v>496</v>
      </c>
      <c r="C804" s="4">
        <v>1</v>
      </c>
    </row>
    <row r="805" spans="1:3">
      <c r="A805" s="4" t="s">
        <v>505</v>
      </c>
      <c r="B805" s="4" t="s">
        <v>506</v>
      </c>
      <c r="C805" s="4">
        <v>6.2</v>
      </c>
    </row>
    <row r="806" spans="1:3">
      <c r="A806" s="5" t="s">
        <v>509</v>
      </c>
      <c r="B806" s="5" t="s">
        <v>510</v>
      </c>
      <c r="C806" s="5">
        <v>0.2</v>
      </c>
    </row>
    <row r="807" spans="1:3">
      <c r="A807" s="4" t="s">
        <v>507</v>
      </c>
      <c r="B807" s="4" t="s">
        <v>508</v>
      </c>
      <c r="C807" s="4">
        <v>2649.5</v>
      </c>
    </row>
    <row r="808" spans="1:3">
      <c r="A808" s="4" t="s">
        <v>563</v>
      </c>
      <c r="B808" s="4" t="s">
        <v>564</v>
      </c>
      <c r="C808" s="4">
        <v>2.8</v>
      </c>
    </row>
    <row r="809" spans="1:3">
      <c r="A809" s="5" t="s">
        <v>595</v>
      </c>
      <c r="B809" s="5" t="s">
        <v>596</v>
      </c>
      <c r="C809" s="5">
        <v>0.2</v>
      </c>
    </row>
    <row r="810" spans="1:3">
      <c r="A810" s="5" t="s">
        <v>593</v>
      </c>
      <c r="B810" s="5" t="s">
        <v>594</v>
      </c>
      <c r="C810" s="5">
        <v>0.2</v>
      </c>
    </row>
    <row r="811" spans="1:3">
      <c r="A811" s="4" t="s">
        <v>645</v>
      </c>
      <c r="B811" s="4" t="s">
        <v>646</v>
      </c>
      <c r="C811" s="4">
        <v>2.5</v>
      </c>
    </row>
    <row r="812" spans="1:3">
      <c r="A812" s="4" t="s">
        <v>703</v>
      </c>
      <c r="B812" s="4" t="s">
        <v>704</v>
      </c>
      <c r="C812" s="4">
        <v>1</v>
      </c>
    </row>
    <row r="813" spans="1:3">
      <c r="A813" s="5" t="s">
        <v>715</v>
      </c>
      <c r="B813" s="5" t="s">
        <v>716</v>
      </c>
      <c r="C813" s="5">
        <v>0.5</v>
      </c>
    </row>
    <row r="814" spans="1:3">
      <c r="A814" s="4" t="s">
        <v>723</v>
      </c>
      <c r="B814" s="4" t="s">
        <v>724</v>
      </c>
      <c r="C814" s="4">
        <v>2</v>
      </c>
    </row>
    <row r="815" spans="1:3">
      <c r="A815" s="4" t="s">
        <v>725</v>
      </c>
      <c r="B815" s="4" t="s">
        <v>726</v>
      </c>
      <c r="C815" s="4">
        <v>22.8</v>
      </c>
    </row>
    <row r="816" spans="1:3">
      <c r="A816" s="4" t="s">
        <v>727</v>
      </c>
      <c r="B816" s="4" t="s">
        <v>728</v>
      </c>
      <c r="C816" s="4">
        <v>16</v>
      </c>
    </row>
    <row r="817" spans="1:3">
      <c r="A817" s="4" t="s">
        <v>729</v>
      </c>
      <c r="B817" s="4" t="s">
        <v>730</v>
      </c>
      <c r="C817" s="4">
        <v>1.8</v>
      </c>
    </row>
    <row r="818" spans="1:3">
      <c r="A818" s="4" t="s">
        <v>757</v>
      </c>
      <c r="B818" s="4" t="s">
        <v>758</v>
      </c>
      <c r="C818" s="4">
        <v>2.2</v>
      </c>
    </row>
    <row r="819" spans="1:3">
      <c r="A819" s="4" t="s">
        <v>781</v>
      </c>
      <c r="B819" s="4" t="s">
        <v>782</v>
      </c>
      <c r="C819" s="4">
        <v>5.2</v>
      </c>
    </row>
    <row r="820" spans="1:3">
      <c r="A820" s="4" t="s">
        <v>839</v>
      </c>
      <c r="B820" s="4" t="s">
        <v>840</v>
      </c>
      <c r="C820" s="4">
        <v>76.8</v>
      </c>
    </row>
    <row r="821" spans="1:3">
      <c r="A821" s="4" t="s">
        <v>847</v>
      </c>
      <c r="B821" s="4" t="s">
        <v>848</v>
      </c>
      <c r="C821" s="4">
        <v>2.5</v>
      </c>
    </row>
    <row r="822" spans="1:3">
      <c r="A822" s="5" t="s">
        <v>863</v>
      </c>
      <c r="B822" s="5" t="s">
        <v>864</v>
      </c>
      <c r="C822" s="5">
        <v>0.2</v>
      </c>
    </row>
    <row r="823" spans="1:3">
      <c r="A823" s="4" t="s">
        <v>901</v>
      </c>
      <c r="B823" s="4" t="s">
        <v>902</v>
      </c>
      <c r="C823" s="4">
        <v>6</v>
      </c>
    </row>
    <row r="824" spans="1:3">
      <c r="A824" s="5" t="s">
        <v>973</v>
      </c>
      <c r="B824" s="5" t="s">
        <v>974</v>
      </c>
      <c r="C824" s="5">
        <v>0.2</v>
      </c>
    </row>
    <row r="825" spans="1:3">
      <c r="A825" s="4" t="s">
        <v>903</v>
      </c>
      <c r="B825" s="4" t="s">
        <v>904</v>
      </c>
      <c r="C825" s="4">
        <v>13.2</v>
      </c>
    </row>
    <row r="826" spans="1:3">
      <c r="A826" s="4" t="s">
        <v>897</v>
      </c>
      <c r="B826" s="4" t="s">
        <v>898</v>
      </c>
      <c r="C826" s="4">
        <v>15.5</v>
      </c>
    </row>
    <row r="827" spans="1:3">
      <c r="A827" s="5" t="s">
        <v>911</v>
      </c>
      <c r="B827" s="5" t="s">
        <v>912</v>
      </c>
      <c r="C827" s="5">
        <v>0.8</v>
      </c>
    </row>
    <row r="828" spans="1:3">
      <c r="A828" s="5" t="s">
        <v>923</v>
      </c>
      <c r="B828" s="5" t="s">
        <v>924</v>
      </c>
      <c r="C828" s="5">
        <v>0.2</v>
      </c>
    </row>
    <row r="829" spans="1:3">
      <c r="A829" s="4" t="s">
        <v>931</v>
      </c>
      <c r="B829" s="4" t="s">
        <v>932</v>
      </c>
      <c r="C829" s="4">
        <v>1.8</v>
      </c>
    </row>
    <row r="830" spans="1:3">
      <c r="A830" s="4" t="s">
        <v>971</v>
      </c>
      <c r="B830" s="4" t="s">
        <v>972</v>
      </c>
      <c r="C830" s="4">
        <v>2.2</v>
      </c>
    </row>
    <row r="831" spans="1:3">
      <c r="A831" s="4" t="s">
        <v>993</v>
      </c>
      <c r="B831" s="4" t="s">
        <v>994</v>
      </c>
      <c r="C831" s="4">
        <v>3.8</v>
      </c>
    </row>
    <row r="832" spans="1:3">
      <c r="A832" s="4" t="s">
        <v>1005</v>
      </c>
      <c r="B832" s="4" t="s">
        <v>1006</v>
      </c>
      <c r="C832" s="4">
        <v>14</v>
      </c>
    </row>
    <row r="833" spans="1:3">
      <c r="A833" s="4" t="s">
        <v>1021</v>
      </c>
      <c r="B833" s="4" t="s">
        <v>1022</v>
      </c>
      <c r="C833" s="4">
        <v>3</v>
      </c>
    </row>
    <row r="834" spans="1:3">
      <c r="A834" s="5" t="s">
        <v>1019</v>
      </c>
      <c r="B834" s="5" t="s">
        <v>1020</v>
      </c>
      <c r="C834" s="5">
        <v>0.8</v>
      </c>
    </row>
    <row r="835" spans="1:3">
      <c r="A835" s="4" t="s">
        <v>2743</v>
      </c>
      <c r="B835" s="4" t="s">
        <v>2744</v>
      </c>
      <c r="C835" s="4">
        <v>1.2</v>
      </c>
    </row>
    <row r="836" spans="1:3">
      <c r="A836" s="5" t="s">
        <v>1103</v>
      </c>
      <c r="B836" s="5" t="s">
        <v>1104</v>
      </c>
      <c r="C836" s="5">
        <v>0.2</v>
      </c>
    </row>
    <row r="837" spans="1:3">
      <c r="A837" s="4" t="s">
        <v>1117</v>
      </c>
      <c r="B837" s="4" t="s">
        <v>1118</v>
      </c>
      <c r="C837" s="4">
        <v>2</v>
      </c>
    </row>
    <row r="838" spans="1:3">
      <c r="A838" s="4" t="s">
        <v>1163</v>
      </c>
      <c r="B838" s="4" t="s">
        <v>1164</v>
      </c>
      <c r="C838" s="4">
        <v>109</v>
      </c>
    </row>
    <row r="839" spans="1:3">
      <c r="A839" s="4" t="s">
        <v>1229</v>
      </c>
      <c r="B839" s="4" t="s">
        <v>1230</v>
      </c>
      <c r="C839" s="4">
        <v>5.5</v>
      </c>
    </row>
    <row r="840" spans="1:3">
      <c r="A840" s="4" t="s">
        <v>1211</v>
      </c>
      <c r="B840" s="4" t="s">
        <v>1212</v>
      </c>
      <c r="C840" s="4">
        <v>1</v>
      </c>
    </row>
    <row r="841" spans="1:3">
      <c r="A841" s="4" t="s">
        <v>1297</v>
      </c>
      <c r="B841" s="4" t="s">
        <v>1298</v>
      </c>
      <c r="C841" s="4">
        <v>11.8</v>
      </c>
    </row>
    <row r="842" spans="1:3">
      <c r="A842" s="4" t="s">
        <v>1331</v>
      </c>
      <c r="B842" s="4" t="s">
        <v>1332</v>
      </c>
      <c r="C842" s="4">
        <v>6.8</v>
      </c>
    </row>
    <row r="843" spans="1:3">
      <c r="A843" s="4" t="s">
        <v>1403</v>
      </c>
      <c r="B843" s="4" t="s">
        <v>1404</v>
      </c>
      <c r="C843" s="4">
        <v>-0.2</v>
      </c>
    </row>
    <row r="844" spans="1:3">
      <c r="A844" s="4" t="s">
        <v>1411</v>
      </c>
      <c r="B844" s="4" t="s">
        <v>1412</v>
      </c>
      <c r="C844" s="4">
        <v>528.2</v>
      </c>
    </row>
    <row r="845" spans="1:3">
      <c r="A845" s="5" t="s">
        <v>2745</v>
      </c>
      <c r="B845" s="5" t="s">
        <v>2746</v>
      </c>
      <c r="C845" s="5">
        <v>0.2</v>
      </c>
    </row>
    <row r="846" spans="1:3">
      <c r="A846" s="4" t="s">
        <v>1505</v>
      </c>
      <c r="B846" s="4" t="s">
        <v>1506</v>
      </c>
      <c r="C846" s="4">
        <v>7</v>
      </c>
    </row>
    <row r="847" spans="1:3">
      <c r="A847" s="4" t="s">
        <v>2747</v>
      </c>
      <c r="B847" s="4" t="s">
        <v>2748</v>
      </c>
      <c r="C847" s="4">
        <v>-0.2</v>
      </c>
    </row>
    <row r="848" spans="1:3">
      <c r="A848" s="4" t="s">
        <v>1605</v>
      </c>
      <c r="B848" s="4" t="s">
        <v>1606</v>
      </c>
      <c r="C848" s="4">
        <v>2.5</v>
      </c>
    </row>
    <row r="849" spans="1:3">
      <c r="A849" s="4" t="s">
        <v>1531</v>
      </c>
      <c r="B849" s="4" t="s">
        <v>1532</v>
      </c>
      <c r="C849" s="4">
        <v>56.8</v>
      </c>
    </row>
    <row r="850" spans="1:3">
      <c r="A850" s="4" t="s">
        <v>1533</v>
      </c>
      <c r="B850" s="4" t="s">
        <v>1534</v>
      </c>
      <c r="C850" s="4">
        <v>2.5</v>
      </c>
    </row>
    <row r="851" spans="1:3">
      <c r="A851" s="5" t="s">
        <v>1551</v>
      </c>
      <c r="B851" s="5" t="s">
        <v>1552</v>
      </c>
      <c r="C851" s="5">
        <v>0.8</v>
      </c>
    </row>
    <row r="852" spans="1:3">
      <c r="A852" s="4" t="s">
        <v>1585</v>
      </c>
      <c r="B852" s="4" t="s">
        <v>1586</v>
      </c>
      <c r="C852" s="4">
        <v>11.8</v>
      </c>
    </row>
    <row r="853" spans="1:3">
      <c r="A853" s="5" t="s">
        <v>1651</v>
      </c>
      <c r="B853" s="5" t="s">
        <v>1652</v>
      </c>
      <c r="C853" s="5">
        <v>0.5</v>
      </c>
    </row>
    <row r="854" spans="1:3">
      <c r="A854" s="4" t="s">
        <v>1649</v>
      </c>
      <c r="B854" s="4" t="s">
        <v>1650</v>
      </c>
      <c r="C854" s="4">
        <v>3</v>
      </c>
    </row>
    <row r="855" spans="1:3">
      <c r="A855" s="5" t="s">
        <v>1659</v>
      </c>
      <c r="B855" s="5" t="s">
        <v>1660</v>
      </c>
      <c r="C855" s="5">
        <v>0.5</v>
      </c>
    </row>
    <row r="856" spans="1:3">
      <c r="A856" s="4" t="s">
        <v>1689</v>
      </c>
      <c r="B856" s="4" t="s">
        <v>1690</v>
      </c>
      <c r="C856" s="4">
        <v>10.8</v>
      </c>
    </row>
    <row r="857" spans="1:3">
      <c r="A857" s="4" t="s">
        <v>1767</v>
      </c>
      <c r="B857" s="4" t="s">
        <v>1768</v>
      </c>
      <c r="C857" s="4">
        <v>15</v>
      </c>
    </row>
    <row r="858" spans="1:3">
      <c r="A858" s="4" t="s">
        <v>1787</v>
      </c>
      <c r="B858" s="4" t="s">
        <v>1788</v>
      </c>
      <c r="C858" s="4">
        <v>3</v>
      </c>
    </row>
    <row r="859" spans="1:3">
      <c r="A859" s="5" t="s">
        <v>1783</v>
      </c>
      <c r="B859" s="5" t="s">
        <v>1784</v>
      </c>
      <c r="C859" s="5">
        <v>0.2</v>
      </c>
    </row>
    <row r="860" spans="1:3">
      <c r="A860" s="4" t="s">
        <v>1829</v>
      </c>
      <c r="B860" s="4" t="s">
        <v>1830</v>
      </c>
      <c r="C860" s="4">
        <v>2.8</v>
      </c>
    </row>
    <row r="861" spans="1:3">
      <c r="A861" s="4" t="s">
        <v>1851</v>
      </c>
      <c r="B861" s="4" t="s">
        <v>1852</v>
      </c>
      <c r="C861" s="4">
        <v>58</v>
      </c>
    </row>
    <row r="862" spans="1:3">
      <c r="A862" s="5" t="s">
        <v>1883</v>
      </c>
      <c r="B862" s="5" t="s">
        <v>1884</v>
      </c>
      <c r="C862" s="5">
        <v>0.2</v>
      </c>
    </row>
    <row r="863" spans="1:3">
      <c r="A863" s="4" t="s">
        <v>1931</v>
      </c>
      <c r="B863" s="4" t="s">
        <v>1932</v>
      </c>
      <c r="C863" s="4">
        <v>1.5</v>
      </c>
    </row>
    <row r="864" spans="1:3">
      <c r="A864" s="4" t="s">
        <v>2061</v>
      </c>
      <c r="B864" s="4" t="s">
        <v>2062</v>
      </c>
      <c r="C864" s="4">
        <v>1.8</v>
      </c>
    </row>
    <row r="865" spans="1:3">
      <c r="A865" s="5" t="s">
        <v>2213</v>
      </c>
      <c r="B865" s="5" t="s">
        <v>2214</v>
      </c>
      <c r="C865" s="5">
        <v>0.2</v>
      </c>
    </row>
    <row r="866" spans="1:3">
      <c r="A866" s="4" t="s">
        <v>2003</v>
      </c>
      <c r="B866" s="4" t="s">
        <v>2004</v>
      </c>
      <c r="C866" s="4">
        <v>529</v>
      </c>
    </row>
    <row r="867" spans="1:3">
      <c r="A867" s="4" t="s">
        <v>2033</v>
      </c>
      <c r="B867" s="4" t="s">
        <v>2034</v>
      </c>
      <c r="C867" s="4">
        <v>1</v>
      </c>
    </row>
    <row r="868" spans="1:3">
      <c r="A868" s="4" t="s">
        <v>2057</v>
      </c>
      <c r="B868" s="4" t="s">
        <v>2058</v>
      </c>
      <c r="C868" s="4">
        <v>5.5</v>
      </c>
    </row>
    <row r="869" spans="1:3">
      <c r="A869" s="5" t="s">
        <v>2085</v>
      </c>
      <c r="B869" s="5" t="s">
        <v>2086</v>
      </c>
      <c r="C869" s="5">
        <v>0.5</v>
      </c>
    </row>
    <row r="870" spans="1:3">
      <c r="A870" s="5" t="s">
        <v>2075</v>
      </c>
      <c r="B870" s="5" t="s">
        <v>2076</v>
      </c>
      <c r="C870" s="5">
        <v>0.2</v>
      </c>
    </row>
    <row r="871" spans="1:3">
      <c r="A871" s="4" t="s">
        <v>2093</v>
      </c>
      <c r="B871" s="4" t="s">
        <v>2094</v>
      </c>
      <c r="C871" s="4">
        <v>17.2</v>
      </c>
    </row>
    <row r="872" spans="1:3">
      <c r="A872" s="4" t="s">
        <v>2081</v>
      </c>
      <c r="B872" s="4" t="s">
        <v>2082</v>
      </c>
      <c r="C872" s="4">
        <v>10.8</v>
      </c>
    </row>
    <row r="873" spans="1:3">
      <c r="A873" s="4" t="s">
        <v>2077</v>
      </c>
      <c r="B873" s="4" t="s">
        <v>2078</v>
      </c>
      <c r="C873" s="4">
        <v>5</v>
      </c>
    </row>
    <row r="874" spans="1:3">
      <c r="A874" s="4" t="s">
        <v>2153</v>
      </c>
      <c r="B874" s="4" t="s">
        <v>2154</v>
      </c>
      <c r="C874" s="4">
        <v>4.5</v>
      </c>
    </row>
    <row r="875" spans="1:3">
      <c r="A875" s="4" t="s">
        <v>2157</v>
      </c>
      <c r="B875" s="4" t="s">
        <v>2158</v>
      </c>
      <c r="C875" s="4">
        <v>1.2</v>
      </c>
    </row>
    <row r="876" spans="1:3">
      <c r="A876" s="5" t="s">
        <v>2161</v>
      </c>
      <c r="B876" s="5" t="s">
        <v>2162</v>
      </c>
      <c r="C876" s="5">
        <v>0.8</v>
      </c>
    </row>
    <row r="877" spans="1:3">
      <c r="A877" s="5" t="s">
        <v>2209</v>
      </c>
      <c r="B877" s="5" t="s">
        <v>2210</v>
      </c>
      <c r="C877" s="5">
        <v>0.2</v>
      </c>
    </row>
    <row r="878" spans="1:3">
      <c r="A878" s="5" t="s">
        <v>2223</v>
      </c>
      <c r="B878" s="5" t="s">
        <v>2224</v>
      </c>
      <c r="C878" s="5">
        <v>0.2</v>
      </c>
    </row>
    <row r="879" spans="1:3">
      <c r="A879" s="5" t="s">
        <v>2353</v>
      </c>
      <c r="B879" s="5" t="s">
        <v>2354</v>
      </c>
      <c r="C879" s="5">
        <v>0.2</v>
      </c>
    </row>
    <row r="880" spans="1:3">
      <c r="A880" s="4" t="s">
        <v>2289</v>
      </c>
      <c r="B880" s="4" t="s">
        <v>2290</v>
      </c>
      <c r="C880" s="4">
        <v>2.5</v>
      </c>
    </row>
    <row r="881" spans="1:3">
      <c r="A881" s="5" t="s">
        <v>2313</v>
      </c>
      <c r="B881" s="5" t="s">
        <v>2314</v>
      </c>
      <c r="C881" s="5">
        <v>0.5</v>
      </c>
    </row>
    <row r="882" spans="1:3">
      <c r="A882" s="4" t="s">
        <v>2698</v>
      </c>
      <c r="B882" s="4" t="s">
        <v>2699</v>
      </c>
      <c r="C882" s="4">
        <v>3.5</v>
      </c>
    </row>
    <row r="883" spans="1:3">
      <c r="A883" s="4" t="s">
        <v>2749</v>
      </c>
      <c r="B883" s="4" t="s">
        <v>2750</v>
      </c>
      <c r="C883" s="4">
        <v>1.5</v>
      </c>
    </row>
    <row r="884" spans="1:3">
      <c r="A884" s="4" t="s">
        <v>2323</v>
      </c>
      <c r="B884" s="4" t="s">
        <v>2324</v>
      </c>
      <c r="C884" s="4">
        <v>15</v>
      </c>
    </row>
    <row r="885" spans="1:3">
      <c r="A885" s="5" t="s">
        <v>2327</v>
      </c>
      <c r="B885" s="5" t="s">
        <v>2328</v>
      </c>
      <c r="C885" s="5">
        <v>0.8</v>
      </c>
    </row>
    <row r="886" spans="1:3">
      <c r="A886" s="4" t="s">
        <v>2329</v>
      </c>
      <c r="B886" s="4" t="s">
        <v>2330</v>
      </c>
      <c r="C886" s="4">
        <v>4.8</v>
      </c>
    </row>
    <row r="887" spans="1:3">
      <c r="A887" s="5" t="s">
        <v>2331</v>
      </c>
      <c r="B887" s="5" t="s">
        <v>2332</v>
      </c>
      <c r="C887" s="5">
        <v>0.2</v>
      </c>
    </row>
    <row r="888" spans="1:3">
      <c r="A888" s="5" t="s">
        <v>2351</v>
      </c>
      <c r="B888" s="5" t="s">
        <v>2352</v>
      </c>
      <c r="C888" s="5">
        <v>0.2</v>
      </c>
    </row>
    <row r="889" spans="1:3">
      <c r="A889" s="5" t="s">
        <v>2363</v>
      </c>
      <c r="B889" s="5" t="s">
        <v>2364</v>
      </c>
      <c r="C889" s="5">
        <v>0.2</v>
      </c>
    </row>
    <row r="890" spans="1:3">
      <c r="A890" s="5" t="s">
        <v>2419</v>
      </c>
      <c r="B890" s="5" t="s">
        <v>2420</v>
      </c>
      <c r="C890" s="5">
        <v>0.5</v>
      </c>
    </row>
    <row r="891" spans="1:3">
      <c r="A891" s="4" t="s">
        <v>2401</v>
      </c>
      <c r="B891" s="4" t="s">
        <v>2402</v>
      </c>
      <c r="C891" s="4">
        <v>1</v>
      </c>
    </row>
    <row r="892" spans="1:3">
      <c r="A892" s="4" t="s">
        <v>2403</v>
      </c>
      <c r="B892" s="4" t="s">
        <v>2404</v>
      </c>
      <c r="C892" s="4">
        <v>1</v>
      </c>
    </row>
    <row r="893" spans="1:3">
      <c r="A893" s="5" t="s">
        <v>2469</v>
      </c>
      <c r="B893" s="5" t="s">
        <v>2470</v>
      </c>
      <c r="C893" s="5">
        <v>0.2</v>
      </c>
    </row>
    <row r="894" spans="1:3">
      <c r="A894" s="4" t="s">
        <v>2503</v>
      </c>
      <c r="B894" s="4" t="s">
        <v>2504</v>
      </c>
      <c r="C894" s="4">
        <v>1.2</v>
      </c>
    </row>
    <row r="895" spans="1:3">
      <c r="A895" s="5" t="s">
        <v>2505</v>
      </c>
      <c r="B895" s="5" t="s">
        <v>2506</v>
      </c>
      <c r="C895" s="5">
        <v>0.2</v>
      </c>
    </row>
    <row r="896" spans="1:3">
      <c r="A896" s="5" t="s">
        <v>2507</v>
      </c>
      <c r="B896" s="5" t="s">
        <v>2508</v>
      </c>
      <c r="C896" s="5">
        <v>0.2</v>
      </c>
    </row>
    <row r="897" spans="1:3">
      <c r="A897" s="4" t="s">
        <v>2535</v>
      </c>
      <c r="B897" s="4" t="s">
        <v>2536</v>
      </c>
      <c r="C897" s="4">
        <v>16.2</v>
      </c>
    </row>
    <row r="898" spans="1:3">
      <c r="A898" s="4" t="s">
        <v>2533</v>
      </c>
      <c r="B898" s="4" t="s">
        <v>2534</v>
      </c>
      <c r="C898" s="4">
        <v>22.8</v>
      </c>
    </row>
    <row r="899" spans="1:3">
      <c r="A899" s="5" t="s">
        <v>2563</v>
      </c>
      <c r="B899" s="5" t="s">
        <v>2564</v>
      </c>
      <c r="C899" s="5">
        <v>0.2</v>
      </c>
    </row>
    <row r="900" spans="1:3">
      <c r="A900" s="5" t="s">
        <v>2601</v>
      </c>
      <c r="B900" s="5" t="s">
        <v>2602</v>
      </c>
      <c r="C900" s="5">
        <v>0.8</v>
      </c>
    </row>
    <row r="901" spans="1:3">
      <c r="A901" s="4" t="s">
        <v>2615</v>
      </c>
      <c r="B901" s="4" t="s">
        <v>2616</v>
      </c>
      <c r="C901" s="4">
        <v>8.8</v>
      </c>
    </row>
    <row r="902" spans="1:3">
      <c r="A902" s="5" t="s">
        <v>2617</v>
      </c>
      <c r="B902" s="5" t="s">
        <v>2618</v>
      </c>
      <c r="C902" s="5">
        <v>0.2</v>
      </c>
    </row>
    <row r="903" spans="1:3">
      <c r="A903" s="4" t="s">
        <v>2637</v>
      </c>
      <c r="B903" s="4" t="s">
        <v>2638</v>
      </c>
      <c r="C903" s="4">
        <v>6.5</v>
      </c>
    </row>
    <row r="904" spans="1:3">
      <c r="A904" s="4" t="s">
        <v>113</v>
      </c>
      <c r="B904" s="4" t="s">
        <v>114</v>
      </c>
      <c r="C904" s="4">
        <v>7.2</v>
      </c>
    </row>
    <row r="905" spans="1:3">
      <c r="A905" s="4" t="s">
        <v>121</v>
      </c>
      <c r="B905" s="4" t="s">
        <v>122</v>
      </c>
      <c r="C905" s="4">
        <v>3</v>
      </c>
    </row>
    <row r="906" spans="1:3">
      <c r="A906" s="4" t="s">
        <v>185</v>
      </c>
      <c r="B906" s="4" t="s">
        <v>186</v>
      </c>
      <c r="C906" s="4">
        <v>1.5</v>
      </c>
    </row>
    <row r="907" spans="1:3">
      <c r="A907" s="5" t="s">
        <v>227</v>
      </c>
      <c r="B907" s="5" t="s">
        <v>228</v>
      </c>
      <c r="C907" s="5">
        <v>0.2</v>
      </c>
    </row>
    <row r="908" spans="1:3">
      <c r="A908" s="4" t="s">
        <v>239</v>
      </c>
      <c r="B908" s="4" t="s">
        <v>240</v>
      </c>
      <c r="C908" s="4">
        <v>2</v>
      </c>
    </row>
    <row r="909" spans="1:3">
      <c r="A909" s="4" t="s">
        <v>357</v>
      </c>
      <c r="B909" s="4" t="s">
        <v>358</v>
      </c>
      <c r="C909" s="4">
        <v>32</v>
      </c>
    </row>
    <row r="910" spans="1:3">
      <c r="A910" s="5" t="s">
        <v>393</v>
      </c>
      <c r="B910" s="5" t="s">
        <v>394</v>
      </c>
      <c r="C910" s="5">
        <v>0.2</v>
      </c>
    </row>
    <row r="911" spans="1:3">
      <c r="A911" s="4" t="s">
        <v>401</v>
      </c>
      <c r="B911" s="4" t="s">
        <v>402</v>
      </c>
      <c r="C911" s="4">
        <v>14.2</v>
      </c>
    </row>
    <row r="912" spans="1:3">
      <c r="A912" s="4" t="s">
        <v>435</v>
      </c>
      <c r="B912" s="4" t="s">
        <v>436</v>
      </c>
      <c r="C912" s="4">
        <v>2.2</v>
      </c>
    </row>
    <row r="913" spans="1:3">
      <c r="A913" s="5" t="s">
        <v>481</v>
      </c>
      <c r="B913" s="5" t="s">
        <v>482</v>
      </c>
      <c r="C913" s="5">
        <v>0.2</v>
      </c>
    </row>
    <row r="914" spans="1:3">
      <c r="A914" s="4" t="s">
        <v>547</v>
      </c>
      <c r="B914" s="4" t="s">
        <v>548</v>
      </c>
      <c r="C914" s="4">
        <v>23.5</v>
      </c>
    </row>
    <row r="915" spans="1:3">
      <c r="A915" s="4" t="s">
        <v>585</v>
      </c>
      <c r="B915" s="4" t="s">
        <v>586</v>
      </c>
      <c r="C915" s="4">
        <v>1.5</v>
      </c>
    </row>
    <row r="916" spans="1:3">
      <c r="A916" s="4" t="s">
        <v>619</v>
      </c>
      <c r="B916" s="4" t="s">
        <v>620</v>
      </c>
      <c r="C916" s="4">
        <v>9</v>
      </c>
    </row>
    <row r="917" spans="1:3">
      <c r="A917" s="4" t="s">
        <v>929</v>
      </c>
      <c r="B917" s="4" t="s">
        <v>930</v>
      </c>
      <c r="C917" s="4">
        <v>1.5</v>
      </c>
    </row>
    <row r="918" spans="1:3">
      <c r="A918" s="6" t="s">
        <v>2700</v>
      </c>
      <c r="B918" s="6" t="s">
        <v>2701</v>
      </c>
      <c r="C918" s="6">
        <v>-0.2</v>
      </c>
    </row>
    <row r="919" spans="1:3">
      <c r="A919" s="4" t="s">
        <v>1119</v>
      </c>
      <c r="B919" s="4" t="s">
        <v>1120</v>
      </c>
      <c r="C919" s="4">
        <v>2</v>
      </c>
    </row>
    <row r="920" spans="1:3">
      <c r="A920" s="4" t="s">
        <v>1237</v>
      </c>
      <c r="B920" s="4" t="s">
        <v>1238</v>
      </c>
      <c r="C920" s="4">
        <v>271.2</v>
      </c>
    </row>
    <row r="921" spans="1:3">
      <c r="A921" s="4" t="s">
        <v>1223</v>
      </c>
      <c r="B921" s="4" t="s">
        <v>1224</v>
      </c>
      <c r="C921" s="4">
        <v>7</v>
      </c>
    </row>
    <row r="922" spans="1:3">
      <c r="A922" s="6" t="s">
        <v>2702</v>
      </c>
      <c r="B922" s="6" t="s">
        <v>2703</v>
      </c>
      <c r="C922" s="6">
        <v>-10</v>
      </c>
    </row>
    <row r="923" spans="1:3">
      <c r="A923" s="4" t="s">
        <v>1253</v>
      </c>
      <c r="B923" s="4" t="s">
        <v>1254</v>
      </c>
      <c r="C923" s="4">
        <v>8</v>
      </c>
    </row>
    <row r="924" spans="1:3">
      <c r="A924" s="4" t="s">
        <v>1391</v>
      </c>
      <c r="B924" s="4" t="s">
        <v>1392</v>
      </c>
      <c r="C924" s="4">
        <v>21.2</v>
      </c>
    </row>
    <row r="925" spans="1:3">
      <c r="A925" s="5" t="s">
        <v>1405</v>
      </c>
      <c r="B925" s="5" t="s">
        <v>1406</v>
      </c>
      <c r="C925" s="5">
        <v>0.2</v>
      </c>
    </row>
    <row r="926" spans="1:3">
      <c r="A926" s="4" t="s">
        <v>447</v>
      </c>
      <c r="B926" s="4" t="s">
        <v>448</v>
      </c>
      <c r="C926" s="4">
        <v>4.2</v>
      </c>
    </row>
    <row r="927" spans="1:3">
      <c r="A927" s="4" t="s">
        <v>1859</v>
      </c>
      <c r="B927" s="4" t="s">
        <v>1860</v>
      </c>
      <c r="C927" s="4">
        <v>16</v>
      </c>
    </row>
    <row r="928" spans="1:3">
      <c r="A928" s="5" t="s">
        <v>1889</v>
      </c>
      <c r="B928" s="5" t="s">
        <v>1890</v>
      </c>
      <c r="C928" s="5">
        <v>0.8</v>
      </c>
    </row>
    <row r="929" spans="1:3">
      <c r="A929" s="4" t="s">
        <v>1949</v>
      </c>
      <c r="B929" s="4" t="s">
        <v>1950</v>
      </c>
      <c r="C929" s="4">
        <v>1.2</v>
      </c>
    </row>
    <row r="930" spans="1:3">
      <c r="A930" s="4" t="s">
        <v>2023</v>
      </c>
      <c r="B930" s="4" t="s">
        <v>2024</v>
      </c>
      <c r="C930" s="4">
        <v>177.2</v>
      </c>
    </row>
    <row r="931" spans="1:3">
      <c r="A931" s="4" t="s">
        <v>2025</v>
      </c>
      <c r="B931" s="4" t="s">
        <v>2026</v>
      </c>
      <c r="C931" s="4">
        <v>4.5</v>
      </c>
    </row>
    <row r="932" spans="1:3">
      <c r="A932" s="4" t="s">
        <v>2027</v>
      </c>
      <c r="B932" s="4" t="s">
        <v>2028</v>
      </c>
      <c r="C932" s="4">
        <v>5.5</v>
      </c>
    </row>
    <row r="933" spans="1:3">
      <c r="A933" s="5" t="s">
        <v>2147</v>
      </c>
      <c r="B933" s="5" t="s">
        <v>2148</v>
      </c>
      <c r="C933" s="5">
        <v>0.8</v>
      </c>
    </row>
    <row r="934" spans="1:3">
      <c r="A934" s="6" t="s">
        <v>2247</v>
      </c>
      <c r="B934" s="6" t="s">
        <v>2248</v>
      </c>
      <c r="C934" s="6">
        <v>0</v>
      </c>
    </row>
    <row r="935" spans="1:3">
      <c r="A935" s="5" t="s">
        <v>2387</v>
      </c>
      <c r="B935" s="5" t="s">
        <v>2388</v>
      </c>
      <c r="C935" s="5">
        <v>0.5</v>
      </c>
    </row>
    <row r="936" spans="1:3">
      <c r="A936" s="6" t="s">
        <v>2555</v>
      </c>
      <c r="B936" s="6" t="s">
        <v>2556</v>
      </c>
      <c r="C936" s="6">
        <v>0</v>
      </c>
    </row>
  </sheetData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Sheet5</vt:lpstr>
      <vt:lpstr>1227-29耗量</vt:lpstr>
      <vt:lpstr>1201-29周均耗用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user9</cp:lastModifiedBy>
  <dcterms:created xsi:type="dcterms:W3CDTF">2025-12-27T07:59:00Z</dcterms:created>
  <dcterms:modified xsi:type="dcterms:W3CDTF">2026-01-10T00:58:05Z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C7B273B92D0C43028409F79CCDB61D46</vt:lpwstr>
  </property>
  <property fmtid="{D5CDD505-2E9C-101B-9397-08002B2CF9AE}" pid="3" name="KSOProductBuildVer">
    <vt:lpwstr>1028-11.8.2.11665</vt:lpwstr>
  </property>
</Properties>
</file>